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145" windowHeight="9600" activeTab="2"/>
  </bookViews>
  <sheets>
    <sheet name="Bìa sổ" sheetId="2" r:id="rId1"/>
    <sheet name="Bảng phần trăm" sheetId="4" r:id="rId2"/>
    <sheet name="Kết quả" sheetId="10" r:id="rId3"/>
    <sheet name="Chi phí" sheetId="6" r:id="rId4"/>
  </sheets>
  <definedNames>
    <definedName name="_xlnm._FilterDatabase" localSheetId="3" hidden="1">'Chi phí'!$A$12:$AC$83</definedName>
    <definedName name="_Toc43209653" localSheetId="1">'Bảng phần trăm'!$A$29</definedName>
    <definedName name="_Toc43209654" localSheetId="1">'Bảng phần trăm'!$D$30</definedName>
    <definedName name="_Toc43209655" localSheetId="1">'Bảng phần trăm'!$E$30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<sst xmlns="http://schemas.openxmlformats.org/spreadsheetml/2006/main" count="3076" uniqueCount="1442">
  <si>
    <t>BỆNH VIỆN TRƯỜNG ĐẠI HỌC KỸ THUẬT Y TẾ HẢI DƯƠNG</t>
  </si>
  <si>
    <t xml:space="preserve">Địa chỉ: Số 229 Nguyễn Lương Bằng, Phường Lê Thanh Nghị, Thành phố Hải Phòng
</t>
  </si>
  <si>
    <t>Số điện thoại liên hệ: 02203892629 - Công tác xã hội: 0972631438</t>
  </si>
  <si>
    <t xml:space="preserve">TỔNG HỢP KẾT QUẢ KHÁM SỨC KHOẺ </t>
  </si>
  <si>
    <t>CÔNG TY TNHH MTV XỔ SỐ KIẾN THIẾT HẢI DƯƠNG</t>
  </si>
  <si>
    <t xml:space="preserve">                                                                                                                                                                                                                                                                                                                                                                                                                                                                                                                                                                                                                                                                                                        </t>
  </si>
  <si>
    <t>Theo hợp đồng số: 1253/HĐKT</t>
  </si>
  <si>
    <t xml:space="preserve">Hải Phòng, ngày 4 tháng 9 năm 2026 </t>
  </si>
  <si>
    <t xml:space="preserve">    BỘ Y TẾ</t>
  </si>
  <si>
    <r>
      <rPr>
        <b/>
        <sz val="12.6"/>
        <rFont val="Times New Roman"/>
        <charset val="134"/>
      </rPr>
      <t>CỘNG HÒA XÃ HỘI CHỦ NGHĨA VIỆT NAM</t>
    </r>
    <r>
      <rPr>
        <b/>
        <sz val="13"/>
        <rFont val="Times New Roman"/>
        <charset val="134"/>
      </rPr>
      <t xml:space="preserve">
</t>
    </r>
    <r>
      <rPr>
        <sz val="13"/>
        <rFont val="Times New Roman"/>
        <charset val="134"/>
      </rPr>
      <t>Độc lập – Tự do – Hạnh phúc
-----o0o-----</t>
    </r>
  </si>
  <si>
    <t>BỆNH VIỆN TRƯỜNG ĐẠI HỌC
 KỸ THUẬT Y TẾ HẢI DƯƠNG</t>
  </si>
  <si>
    <t>Số:….../ KQKSK</t>
  </si>
  <si>
    <t>KẾT QUẢ TỔNG HỢP KHÁM SỨC KHỎE ĐỊNH KỲ</t>
  </si>
  <si>
    <t>Công ty Công ty TNHH MTV Xổ số Kiến thiết Hải Dương</t>
  </si>
  <si>
    <t>Thời gian khám: 22/8/2026</t>
  </si>
  <si>
    <t>I. THÔNG TIN CHUNG</t>
  </si>
  <si>
    <t>Tổng số CBNV đăng ký khám:</t>
  </si>
  <si>
    <t>người</t>
  </si>
  <si>
    <t>Tổng số CBNV khám:</t>
  </si>
  <si>
    <t xml:space="preserve">Tỷ lệ khám (số khám / số đăng ký): </t>
  </si>
  <si>
    <t>%</t>
  </si>
  <si>
    <t>Tổng số CBNV đủ điều kiện phân loại sức khỏe</t>
  </si>
  <si>
    <t>Tỷ lệ đủ điều kiện phân loại sức khỏe (số đủ đk/ số khám):</t>
  </si>
  <si>
    <t>II.  KẾT QUẢ KHÁM SỨC KHỎE</t>
  </si>
  <si>
    <t>2.1  Phân loại sức khoẻ CBNV</t>
  </si>
  <si>
    <t>Bảng 1. Phân loại sức khỏe của CBNV</t>
  </si>
  <si>
    <t>Giới</t>
  </si>
  <si>
    <t>Tổng số n(%)</t>
  </si>
  <si>
    <t>Loại I</t>
  </si>
  <si>
    <t>Loại II</t>
  </si>
  <si>
    <t>Loại III</t>
  </si>
  <si>
    <t>Loại IV</t>
  </si>
  <si>
    <t>Loại V</t>
  </si>
  <si>
    <t>n(%)</t>
  </si>
  <si>
    <t>Nam</t>
  </si>
  <si>
    <t>Nữ</t>
  </si>
  <si>
    <t>Tổng số</t>
  </si>
  <si>
    <r>
      <rPr>
        <b/>
        <i/>
        <u/>
        <sz val="13"/>
        <rFont val="Times New Roman"/>
        <charset val="134"/>
      </rPr>
      <t>Ghi chú</t>
    </r>
    <r>
      <rPr>
        <b/>
        <sz val="13"/>
        <rFont val="Times New Roman"/>
        <charset val="134"/>
      </rPr>
      <t xml:space="preserve">: </t>
    </r>
    <r>
      <rPr>
        <b/>
        <i/>
        <sz val="13"/>
        <rFont val="Times New Roman"/>
        <charset val="134"/>
      </rPr>
      <t>Loại I:  Rất khoẻ; Loại II: Khoẻ; Loại III: Trung bình; Loại IV: Yếu; Loại V: Rất yếu</t>
    </r>
  </si>
  <si>
    <t>2.2 Tình hình sức khỏe của CBNV theo chuyên khoa</t>
  </si>
  <si>
    <t xml:space="preserve">Bảng 2: Tình hình sức khỏe của CBNV theo chuyên khoa </t>
  </si>
  <si>
    <t>TT</t>
  </si>
  <si>
    <t>Chuyên khoa</t>
  </si>
  <si>
    <t>Số người mắc
(N=…)</t>
  </si>
  <si>
    <t xml:space="preserve">Tỷ lệ % </t>
  </si>
  <si>
    <t>Các bệnh thường gặp</t>
  </si>
  <si>
    <t xml:space="preserve">Răng – Hàm - Mặt   </t>
  </si>
  <si>
    <t>Cao răng, Mất răng,...</t>
  </si>
  <si>
    <t xml:space="preserve">Tai – Mũi - Họng      </t>
  </si>
  <si>
    <t>Viêm họng mạn tính, Viêm mũi dị ứng, Lỗ dò luân nhĩ,...</t>
  </si>
  <si>
    <t xml:space="preserve">Mắt       </t>
  </si>
  <si>
    <t>Tật khúc xạ, Đục thủy tinh thể,...</t>
  </si>
  <si>
    <t>Nội khoa</t>
  </si>
  <si>
    <t>Tăng huyết áp, Nhịp tim nhanh,...</t>
  </si>
  <si>
    <t>Ngoại khoa</t>
  </si>
  <si>
    <t>Mổ viêm ruột thừa, Mổ gãy xương,...</t>
  </si>
  <si>
    <t>Sản khoa</t>
  </si>
  <si>
    <t>Mổ lấy thai, Mổ cắt tử cung,...</t>
  </si>
  <si>
    <t>Da liễu</t>
  </si>
  <si>
    <t>Mày đay, Trứng cá,...</t>
  </si>
  <si>
    <t>2.3 Nhận xét</t>
  </si>
  <si>
    <t>Qua kết quả khám sức khỏe định kỳ cho cán bộ, người lao động TNHH MTV Xổ số Kiến thiết Hải Dương ngày 22/8/2026  cho thấy:</t>
  </si>
  <si>
    <t>- Cán bộ, nhân viên sức khỏe loại I, II, III chiếm tỷ lệ: 88,6 % / số ca đủ điều kiện phân loại</t>
  </si>
  <si>
    <t>- Cán bộ, nhân viên sức khỏe loại IV, V chiếm tỷ lệ: 11,4 %  / số ca đủ điều kiện phân loại</t>
  </si>
  <si>
    <t>- Các bệnh phổ biến: bệnh về Răng hàm mặt có tỷ lệ mắc cao nhất chiếm 65,71 %</t>
  </si>
  <si>
    <t>III. KẾT QUẢ KHÁM SỨC KHỎE CHI TIẾT CỦA CBNV</t>
  </si>
  <si>
    <t>STT</t>
  </si>
  <si>
    <t>Họ và tên</t>
  </si>
  <si>
    <t>Ngày tháng năm sinh</t>
  </si>
  <si>
    <t>Giới tính</t>
  </si>
  <si>
    <t>Chiều cao</t>
  </si>
  <si>
    <t>Cân nặng</t>
  </si>
  <si>
    <t>BMI</t>
  </si>
  <si>
    <t>Huyết áp (mmHg)</t>
  </si>
  <si>
    <t>Mạch (l/p))</t>
  </si>
  <si>
    <t>Khám nội)</t>
  </si>
  <si>
    <t>Khám ngoại</t>
  </si>
  <si>
    <t>Khám da liễu</t>
  </si>
  <si>
    <t>Khám mắt</t>
  </si>
  <si>
    <t>Khám Tai Mũi Họng</t>
  </si>
  <si>
    <t>Khám Răng</t>
  </si>
  <si>
    <t>Khám phụ khoa</t>
  </si>
  <si>
    <t>Huyết học</t>
  </si>
  <si>
    <t>Hóa sinh</t>
  </si>
  <si>
    <t>Nước tiểu</t>
  </si>
  <si>
    <t>Xét nghiệm miễn dịch</t>
  </si>
  <si>
    <t>Siêu âm</t>
  </si>
  <si>
    <t>Chụp X-quang ngực thẳng [số hóa 1 phim]</t>
  </si>
  <si>
    <t>Xét nghiệm tế bào học áp nhuộm thường quy</t>
  </si>
  <si>
    <t>Phân loại</t>
  </si>
  <si>
    <t>Kết luận</t>
  </si>
  <si>
    <t>Định nhóm máu hệ ABO</t>
  </si>
  <si>
    <t>Số lượng hồng cầu</t>
  </si>
  <si>
    <t>Huyết sắc tố</t>
  </si>
  <si>
    <t>Số lượng bạch cầu</t>
  </si>
  <si>
    <t xml:space="preserve"> Số lượng tiểu cầu</t>
  </si>
  <si>
    <t xml:space="preserve">Định lượng HDL-C </t>
  </si>
  <si>
    <t>Định lượng Urê máu</t>
  </si>
  <si>
    <t>Định lượng Cholesterol toàn phần</t>
  </si>
  <si>
    <t>Định lượng Acid Uric</t>
  </si>
  <si>
    <t>Đo hoạt độ ALT (GPT)</t>
  </si>
  <si>
    <t>Định lượng Triglycerid</t>
  </si>
  <si>
    <t>Đo hoạt độ AST (GOT)</t>
  </si>
  <si>
    <t xml:space="preserve">Định lượng LDL-C </t>
  </si>
  <si>
    <t>Định lượng Glucose</t>
  </si>
  <si>
    <t>Đo hoạt độ GGT</t>
  </si>
  <si>
    <t>Glucose (GLU)</t>
  </si>
  <si>
    <t>Protein (PRO)</t>
  </si>
  <si>
    <t>Hồng cầu (ERY)</t>
  </si>
  <si>
    <t>Bạch cầu (LEU)</t>
  </si>
  <si>
    <t>Định lượng FT4</t>
  </si>
  <si>
    <t xml:space="preserve">Định lượng PSA toàn phần </t>
  </si>
  <si>
    <t>Định lượng TSH</t>
  </si>
  <si>
    <t xml:space="preserve">Định lượng FT3 </t>
  </si>
  <si>
    <t>Siêu âm tuyến giáp</t>
  </si>
  <si>
    <t>Siêu âm ổ bụng</t>
  </si>
  <si>
    <t>Siêu âm tuyến vú hai bên</t>
  </si>
  <si>
    <t>Nguyễn Huy Khánh</t>
  </si>
  <si>
    <t>06/02/1973</t>
  </si>
  <si>
    <t>127/81</t>
  </si>
  <si>
    <t>65</t>
  </si>
  <si>
    <t>Bình thường</t>
  </si>
  <si>
    <t>Cao răng</t>
  </si>
  <si>
    <t>"B"</t>
  </si>
  <si>
    <t>5.15</t>
  </si>
  <si>
    <t>149.5</t>
  </si>
  <si>
    <t>4.86</t>
  </si>
  <si>
    <t>235.3</t>
  </si>
  <si>
    <t>0.95</t>
  </si>
  <si>
    <t>4.56</t>
  </si>
  <si>
    <t>5.05</t>
  </si>
  <si>
    <t>439.7</t>
  </si>
  <si>
    <t>11.0</t>
  </si>
  <si>
    <t>3.20</t>
  </si>
  <si>
    <t>23.3</t>
  </si>
  <si>
    <t>3.33</t>
  </si>
  <si>
    <t>5.65</t>
  </si>
  <si>
    <t>15.1</t>
  </si>
  <si>
    <t>norm</t>
  </si>
  <si>
    <t>neg</t>
  </si>
  <si>
    <t>1.58</t>
  </si>
  <si>
    <t>0.709</t>
  </si>
  <si>
    <t>2.63</t>
  </si>
  <si>
    <t>5.69</t>
  </si>
  <si>
    <t>Hình ảnh nhân thùy trái tuyến giáp TIRADS 3. Nang thùy trái tuyến giáp TIRADS 2</t>
  </si>
  <si>
    <t>Hình ảnh gan nhiễm mỡ độ I. Sỏi thận trái.</t>
  </si>
  <si>
    <t>Hiện chưa thấy bất thường trên phim chụp X quang ngực.</t>
  </si>
  <si>
    <t>III</t>
  </si>
  <si>
    <t>Cao răng. Rối loạn mỡ máu. Tăng acid uric. Nhân thùy trái tuyến giáp. Nang thùy trái tuyến giáp. Gan nhiễm mỡ độ I. Sỏi thận trái.</t>
  </si>
  <si>
    <t>Vũ Thu Hường</t>
  </si>
  <si>
    <t>26/02/1977</t>
  </si>
  <si>
    <t>129/89</t>
  </si>
  <si>
    <t>81</t>
  </si>
  <si>
    <t>2 Mắt cận thị</t>
  </si>
  <si>
    <t>Mổ lấy thai 1 lần</t>
  </si>
  <si>
    <t>"O"</t>
  </si>
  <si>
    <t>4.38</t>
  </si>
  <si>
    <t>123.8</t>
  </si>
  <si>
    <t>13.41</t>
  </si>
  <si>
    <t>290.7</t>
  </si>
  <si>
    <t>1.02</t>
  </si>
  <si>
    <t>4.15</t>
  </si>
  <si>
    <t>4.00</t>
  </si>
  <si>
    <t>5.2</t>
  </si>
  <si>
    <t>1.09</t>
  </si>
  <si>
    <t>10.7</t>
  </si>
  <si>
    <t>5.76</t>
  </si>
  <si>
    <t>500</t>
  </si>
  <si>
    <t>1.39</t>
  </si>
  <si>
    <t>2.45</t>
  </si>
  <si>
    <t>4.26</t>
  </si>
  <si>
    <t>Hình ảnh siêu âm tuyến giáp bình thường - TIRADS 1.</t>
  </si>
  <si>
    <t>Hình ảnh nang Naboth cổ tử cung.</t>
  </si>
  <si>
    <t>Hình ảnh nang tuyến vú trái BIRADS 2.</t>
  </si>
  <si>
    <t/>
  </si>
  <si>
    <t>II</t>
  </si>
  <si>
    <t>Mổ lấy thai 1 lần. 2 Mắt cận thị. Bạch cầu niệu. Nang Naboth cổ tử cung. Nang tuyến vú trái.</t>
  </si>
  <si>
    <t>Bùi Mạnh Dũng</t>
  </si>
  <si>
    <t>03/02/1970</t>
  </si>
  <si>
    <t>132/88</t>
  </si>
  <si>
    <t>79</t>
  </si>
  <si>
    <t>Mất R27, Cao răng</t>
  </si>
  <si>
    <t>5.21</t>
  </si>
  <si>
    <t>150.7</t>
  </si>
  <si>
    <t>6.97</t>
  </si>
  <si>
    <t>261.7</t>
  </si>
  <si>
    <t>1.35</t>
  </si>
  <si>
    <t>6.36</t>
  </si>
  <si>
    <t>4.99</t>
  </si>
  <si>
    <t>393.7</t>
  </si>
  <si>
    <t>29.9</t>
  </si>
  <si>
    <t>1.49</t>
  </si>
  <si>
    <t>25.4</t>
  </si>
  <si>
    <t>3.16</t>
  </si>
  <si>
    <t>6.04</t>
  </si>
  <si>
    <t>49.8</t>
  </si>
  <si>
    <t>1.64</t>
  </si>
  <si>
    <t>0.470</t>
  </si>
  <si>
    <t>1.90</t>
  </si>
  <si>
    <t>6.05</t>
  </si>
  <si>
    <t>Hình ảnh nang thuỳ phải tuyến giáp TIRADS - 2</t>
  </si>
  <si>
    <t>Hình ảnh gan nhiễm mỡ</t>
  </si>
  <si>
    <t>2 Mắt cận thị. Mất R27, Cao răng. Nang thùy phải tuyến giáp. Gan nhiễm mỡ.</t>
  </si>
  <si>
    <t>Lê Minh Tâm</t>
  </si>
  <si>
    <t>07/03/1978</t>
  </si>
  <si>
    <t>137/80</t>
  </si>
  <si>
    <t>T1 đanh</t>
  </si>
  <si>
    <t>4.49</t>
  </si>
  <si>
    <t>148</t>
  </si>
  <si>
    <t>6.19</t>
  </si>
  <si>
    <t>264</t>
  </si>
  <si>
    <t>1.31</t>
  </si>
  <si>
    <t>6.57</t>
  </si>
  <si>
    <t>5.57</t>
  </si>
  <si>
    <t>435.2</t>
  </si>
  <si>
    <t>19.9</t>
  </si>
  <si>
    <t>2.91</t>
  </si>
  <si>
    <t>25.8</t>
  </si>
  <si>
    <t>3.54</t>
  </si>
  <si>
    <t>5.25</t>
  </si>
  <si>
    <t>69.8</t>
  </si>
  <si>
    <t>1.47</t>
  </si>
  <si>
    <t>0.462</t>
  </si>
  <si>
    <t>0.995</t>
  </si>
  <si>
    <t>5.29</t>
  </si>
  <si>
    <t>Hình ảnh nang thùy trái tuyến giáp - TIRADS 2.</t>
  </si>
  <si>
    <t>Hình ảnh gan nhiễm mỡ độ I. Polyp túi mật.</t>
  </si>
  <si>
    <t>Cao răng. Tăng men gan. Rối loạn mỡ máu. Tăng acid uric. Gan nhiễm mỡ độ I. Polyp túi mật. Nang thùy trái tuyến giáp.</t>
  </si>
  <si>
    <t>Chử Kim Tuân</t>
  </si>
  <si>
    <t>23/11/1981</t>
  </si>
  <si>
    <t>107/73</t>
  </si>
  <si>
    <t>83</t>
  </si>
  <si>
    <t>Viêm họng mạn tính</t>
  </si>
  <si>
    <t>5.12</t>
  </si>
  <si>
    <t>156</t>
  </si>
  <si>
    <t>9.27</t>
  </si>
  <si>
    <t>243</t>
  </si>
  <si>
    <t>1.23</t>
  </si>
  <si>
    <t>6.47</t>
  </si>
  <si>
    <t>6.63</t>
  </si>
  <si>
    <t>365.6</t>
  </si>
  <si>
    <t>29.8</t>
  </si>
  <si>
    <t>27.2</t>
  </si>
  <si>
    <t>5.18</t>
  </si>
  <si>
    <t>96.6</t>
  </si>
  <si>
    <t>1.69</t>
  </si>
  <si>
    <t>1.01</t>
  </si>
  <si>
    <t>1.78</t>
  </si>
  <si>
    <t>6.13</t>
  </si>
  <si>
    <t>Hình ảnh gan nhiễm mỡ độ I. Sỏi thận trái</t>
  </si>
  <si>
    <t>Viêm họng mạn tính. Cao răng. Tăng men gan. Rối loạn mỡ máu. Gan nhiễm mỡ độ I. Sỏi thận trái.</t>
  </si>
  <si>
    <t>Nguyễn Thị Thanh Huyền</t>
  </si>
  <si>
    <t>14/11/1982</t>
  </si>
  <si>
    <t>130/90</t>
  </si>
  <si>
    <t>80</t>
  </si>
  <si>
    <t>Mổ lấy thai 2 lần</t>
  </si>
  <si>
    <t>"AB"</t>
  </si>
  <si>
    <t>4.60</t>
  </si>
  <si>
    <t>136</t>
  </si>
  <si>
    <t>7.63</t>
  </si>
  <si>
    <t>270</t>
  </si>
  <si>
    <t>0.82</t>
  </si>
  <si>
    <t>2.89</t>
  </si>
  <si>
    <t>4.69</t>
  </si>
  <si>
    <t>32.9</t>
  </si>
  <si>
    <t>3.52</t>
  </si>
  <si>
    <t>24.9</t>
  </si>
  <si>
    <t>3.14</t>
  </si>
  <si>
    <t>4.94</t>
  </si>
  <si>
    <t>1.36</t>
  </si>
  <si>
    <t>1.73</t>
  </si>
  <si>
    <t>5.71</t>
  </si>
  <si>
    <t>Hình ảnh gan nhiễm mỡ.</t>
  </si>
  <si>
    <t>Hình ảnh nhân tuyến vú phải (BI-RADS 3). Nang tuyến vú phải (BI-RADS 2).</t>
  </si>
  <si>
    <t>Mổ lấy thai 2 lần. 2 Mắt cận thị. Rối loạn mỡ máu. Gan nhiễm mỡ. Nhân tuyến vú phải. Nang tuyến vú phải.</t>
  </si>
  <si>
    <t>Bùi Thị Thu Minh</t>
  </si>
  <si>
    <t>10/06/1983</t>
  </si>
  <si>
    <t>117/72</t>
  </si>
  <si>
    <t>2 Mắt: Cận thị, loạn thị</t>
  </si>
  <si>
    <t>4.22</t>
  </si>
  <si>
    <t>130</t>
  </si>
  <si>
    <t>6.68</t>
  </si>
  <si>
    <t>231</t>
  </si>
  <si>
    <t>1.15</t>
  </si>
  <si>
    <t>5.37</t>
  </si>
  <si>
    <t>4.34</t>
  </si>
  <si>
    <t>11.1</t>
  </si>
  <si>
    <t>1.57</t>
  </si>
  <si>
    <t>17.4</t>
  </si>
  <si>
    <t>2.84</t>
  </si>
  <si>
    <t>4.46</t>
  </si>
  <si>
    <t>2.08</t>
  </si>
  <si>
    <t>4.62</t>
  </si>
  <si>
    <t>Hình ảnh gan nhiễm mỡ độ I.</t>
  </si>
  <si>
    <t>Hình ảnh nang tuyến vú hai bên BIRADS 2.</t>
  </si>
  <si>
    <t>2 Mắt: Cận thị, loạn thị. Nang tuyến vú 2 bên. Nang thùy trái tuyến giáp. Gan nhiễm mỡ độ I</t>
  </si>
  <si>
    <t>Nguyễn Thị Bích Vân</t>
  </si>
  <si>
    <t>23/08/1974</t>
  </si>
  <si>
    <t>102/75</t>
  </si>
  <si>
    <t>84</t>
  </si>
  <si>
    <t>Sẹo lồi</t>
  </si>
  <si>
    <t>2 Mắt tật khúc xạ</t>
  </si>
  <si>
    <t>4.24</t>
  </si>
  <si>
    <t>135</t>
  </si>
  <si>
    <t>4.75</t>
  </si>
  <si>
    <t>247</t>
  </si>
  <si>
    <t>1.34</t>
  </si>
  <si>
    <t>5.55</t>
  </si>
  <si>
    <t>20.5</t>
  </si>
  <si>
    <t>27.5</t>
  </si>
  <si>
    <t>3.70</t>
  </si>
  <si>
    <t>4.97</t>
  </si>
  <si>
    <t>2.25</t>
  </si>
  <si>
    <t>4.63</t>
  </si>
  <si>
    <t>Hình ảnh polyp túi mật</t>
  </si>
  <si>
    <t>Hình ảnh siêu âm tuyến vú hai bên bình thường (BI-RADS 1).</t>
  </si>
  <si>
    <t xml:space="preserve">     Tế bào biến đổi lành tính do viêm
     Không thấy tế bào ác tính.
</t>
  </si>
  <si>
    <t>Sẹo lồi. 2 Mắt tật khúc xạ. Rối loạn mỡ máu. Polyp túi mật.</t>
  </si>
  <si>
    <t>Phạm Ánh Vinh</t>
  </si>
  <si>
    <t>25/11/1994</t>
  </si>
  <si>
    <t>99/63</t>
  </si>
  <si>
    <t>68</t>
  </si>
  <si>
    <t>4.65</t>
  </si>
  <si>
    <t>122</t>
  </si>
  <si>
    <t>4.89</t>
  </si>
  <si>
    <t>206</t>
  </si>
  <si>
    <t>1.43</t>
  </si>
  <si>
    <t>2.99</t>
  </si>
  <si>
    <t>4.31</t>
  </si>
  <si>
    <t>13.8</t>
  </si>
  <si>
    <t>0.85</t>
  </si>
  <si>
    <t>19.4</t>
  </si>
  <si>
    <t>2.58</t>
  </si>
  <si>
    <t>4.84</t>
  </si>
  <si>
    <t>5.03</t>
  </si>
  <si>
    <t>Hình ảnh tăng nhẹ kích thước hai thuỳ tuyến giáp.</t>
  </si>
  <si>
    <t>Hình ảnh siêu âm ổ bụng hiện chưa thấy bất thường.</t>
  </si>
  <si>
    <t>Tăng nhẹ kích thước 2 thùy tuyến giáp.</t>
  </si>
  <si>
    <t>Nguyễn Thị Dung</t>
  </si>
  <si>
    <t>29/01/1986</t>
  </si>
  <si>
    <t>109/67</t>
  </si>
  <si>
    <t>Mổ viêm ruột thừa cấp 2014</t>
  </si>
  <si>
    <t>137</t>
  </si>
  <si>
    <t>6.71</t>
  </si>
  <si>
    <t>208</t>
  </si>
  <si>
    <t>1.11</t>
  </si>
  <si>
    <t>5.35</t>
  </si>
  <si>
    <t>7.9</t>
  </si>
  <si>
    <t>1.65</t>
  </si>
  <si>
    <t>17.2</t>
  </si>
  <si>
    <t>3.09</t>
  </si>
  <si>
    <t>1.52</t>
  </si>
  <si>
    <t>1.62</t>
  </si>
  <si>
    <t>5.31</t>
  </si>
  <si>
    <t>Hình ảnh nang thuỳ trái tuyến giáp - TIRADS 2.</t>
  </si>
  <si>
    <t>Hình ảnh gan nhiễm mỡ nhẹ.</t>
  </si>
  <si>
    <t>Mổ viêm ruột thừa cấp 2014. Mổ lấy thai 1 lần. 2 Mắt tật khúc xạ. Cao răng. Nang thùy trái tuyến giáp. Gan nhiễm mỡ nhẹ.</t>
  </si>
  <si>
    <t>Đặng Thái Sơn</t>
  </si>
  <si>
    <t>03/09/1973</t>
  </si>
  <si>
    <t>120/85</t>
  </si>
  <si>
    <t>73</t>
  </si>
  <si>
    <t>Tiền sử mổ thoát vị CSTL hiện ổn định</t>
  </si>
  <si>
    <t>Mổ thoát vị cột sống thắt lưng</t>
  </si>
  <si>
    <t>Cao răng, Mất R46</t>
  </si>
  <si>
    <t>158.7</t>
  </si>
  <si>
    <t>175.8</t>
  </si>
  <si>
    <t>0.88</t>
  </si>
  <si>
    <t>6.50</t>
  </si>
  <si>
    <t>4.13</t>
  </si>
  <si>
    <t>454.5</t>
  </si>
  <si>
    <t>24.4</t>
  </si>
  <si>
    <t>2.16</t>
  </si>
  <si>
    <t>23.6</t>
  </si>
  <si>
    <t>2.75</t>
  </si>
  <si>
    <t>5.22</t>
  </si>
  <si>
    <t>44.1</t>
  </si>
  <si>
    <t>1.28</t>
  </si>
  <si>
    <t>0.605</t>
  </si>
  <si>
    <t>2.02</t>
  </si>
  <si>
    <t>6.22</t>
  </si>
  <si>
    <t>Hình ảnh gan nhiễm mỡ. Nang gan phải. Polyp túi mật.</t>
  </si>
  <si>
    <t>Viêm họng mạn tính. Cao răng, Mất R46. Tiền sử mổ thoát vị CSTL hiện ổn định. Rối loạn mỡ máu. Tăng acid uric. Gan nhiễm mỡ. Nang gan phải. Polyp túi mật.</t>
  </si>
  <si>
    <t>Vũ Thị Hoài Thu</t>
  </si>
  <si>
    <t>21/03/1987</t>
  </si>
  <si>
    <t>94/62</t>
  </si>
  <si>
    <t>70</t>
  </si>
  <si>
    <t>Huyết áp thấp, Theo dõi bướu giáp</t>
  </si>
  <si>
    <t>129</t>
  </si>
  <si>
    <t>6.73</t>
  </si>
  <si>
    <t>213</t>
  </si>
  <si>
    <t>1.46</t>
  </si>
  <si>
    <t>5.17</t>
  </si>
  <si>
    <t>13.4</t>
  </si>
  <si>
    <t>0.80</t>
  </si>
  <si>
    <t>22.1</t>
  </si>
  <si>
    <t>3.32</t>
  </si>
  <si>
    <t>4.90</t>
  </si>
  <si>
    <t>1.10</t>
  </si>
  <si>
    <t>1.27</t>
  </si>
  <si>
    <t>4.92</t>
  </si>
  <si>
    <t>Hình ảnh nhân hai thuỳ tuyến giáp TIRADS - 3</t>
  </si>
  <si>
    <t>Hình ảnh dày thành túi mật. Sỏi túi mật</t>
  </si>
  <si>
    <t>Huyết áp thấp, Theo dõi bướu giáp. Mổ lấy thai 2 lần. 2 Mắt cận thị. Cao răng. Dày thành túi mật. Sỏi túi mật. Nhân 2 thùy tuyến giáp.</t>
  </si>
  <si>
    <t>Dương Thị Tuyến</t>
  </si>
  <si>
    <t>25/08/1976</t>
  </si>
  <si>
    <t>124/73</t>
  </si>
  <si>
    <t>2 Mắt viễn thị</t>
  </si>
  <si>
    <t>Mất R47</t>
  </si>
  <si>
    <t>4.80</t>
  </si>
  <si>
    <t>133</t>
  </si>
  <si>
    <t>9.38</t>
  </si>
  <si>
    <t>416</t>
  </si>
  <si>
    <t>1.19</t>
  </si>
  <si>
    <t>6.11</t>
  </si>
  <si>
    <t>4.79</t>
  </si>
  <si>
    <t>19.5</t>
  </si>
  <si>
    <t>1.17</t>
  </si>
  <si>
    <t>21.6</t>
  </si>
  <si>
    <t>5.02</t>
  </si>
  <si>
    <t>0.991</t>
  </si>
  <si>
    <t>5.20</t>
  </si>
  <si>
    <t>Hình ảnh nhân thùy trái tuyến giáp - TIRADS 3.</t>
  </si>
  <si>
    <t>Hình ảnh gan nhiễm mỡ độ I. Theo dõi nang xuất huyết buồng trứng phải. Nhân xơ tử cung.</t>
  </si>
  <si>
    <t>Hình ảnh nang tuyến vú phải BIRADS 2.</t>
  </si>
  <si>
    <t>2 Mắt viễn thị. Mất R47. Gan nhiễm mỡ độ I. Theo dõi nang xuất huyết buồng trứng phải. Nhân xơ tử cung. Nang tuyến vú phải. Nhân thùy trái tuyến giáp.</t>
  </si>
  <si>
    <t>Phạm Quang Hoàn</t>
  </si>
  <si>
    <t>12/08/1973</t>
  </si>
  <si>
    <t>110/80</t>
  </si>
  <si>
    <t>Mổ thoát vị bẹn phải</t>
  </si>
  <si>
    <t>161</t>
  </si>
  <si>
    <t>7.27</t>
  </si>
  <si>
    <t>242</t>
  </si>
  <si>
    <t>4.45</t>
  </si>
  <si>
    <t>346.4</t>
  </si>
  <si>
    <t>19.2</t>
  </si>
  <si>
    <t>1.44</t>
  </si>
  <si>
    <t>31.2</t>
  </si>
  <si>
    <t>4.09</t>
  </si>
  <si>
    <t>4.76</t>
  </si>
  <si>
    <t>30.8</t>
  </si>
  <si>
    <t>50</t>
  </si>
  <si>
    <t>5.84</t>
  </si>
  <si>
    <t>Hình ảnh nhân hai thùy tuyến giáp - TIRADS 3.</t>
  </si>
  <si>
    <t>Hình ảnh nang gan phải.</t>
  </si>
  <si>
    <t>Mổ thoát vị bẹn phải. Cao răng. Rối loạn mỡ máu. Nang gan phải. Nhân 2 thùy tuyến giáp.</t>
  </si>
  <si>
    <t>Nguyễn Thị Thu Hằng</t>
  </si>
  <si>
    <t>02/01/1979</t>
  </si>
  <si>
    <t>137/95</t>
  </si>
  <si>
    <t>82</t>
  </si>
  <si>
    <t>Thiếu máu nhẹ</t>
  </si>
  <si>
    <t>Mày đay mạn tính</t>
  </si>
  <si>
    <t>"A"</t>
  </si>
  <si>
    <t>4.20</t>
  </si>
  <si>
    <t>107</t>
  </si>
  <si>
    <t>5.07</t>
  </si>
  <si>
    <t>273</t>
  </si>
  <si>
    <t>1.24</t>
  </si>
  <si>
    <t>3.89</t>
  </si>
  <si>
    <t>10.9</t>
  </si>
  <si>
    <t>15.6</t>
  </si>
  <si>
    <t>3.57</t>
  </si>
  <si>
    <t>1.38</t>
  </si>
  <si>
    <t>2.20</t>
  </si>
  <si>
    <t>4.36</t>
  </si>
  <si>
    <t>Hình ảnh sỏi nhỏ thận phải. Nhân xơ tử cung. Nang Naboth cổ tử cung.</t>
  </si>
  <si>
    <t>Hình ảnh nhân tuyến vú phải (BI-RADS 3).</t>
  </si>
  <si>
    <t>Thiếu máu nhẹ. Mày đay mãn tính. Mổ lấy thai 2 lần. Rối loạn mỡ máu. Sỏi nhỏ thận phải. Nhân xơ tử cung. Nang naboth cổ tử cung. Nhân tuyến vú phải.</t>
  </si>
  <si>
    <t>Nguyễn Viết Hiến</t>
  </si>
  <si>
    <t>11/05/1975</t>
  </si>
  <si>
    <t>150/90</t>
  </si>
  <si>
    <t>85</t>
  </si>
  <si>
    <t>Mổ lấy sỏi thận trái 2016</t>
  </si>
  <si>
    <t>163</t>
  </si>
  <si>
    <t>5.66</t>
  </si>
  <si>
    <t>204</t>
  </si>
  <si>
    <t>1.16</t>
  </si>
  <si>
    <t>4.41</t>
  </si>
  <si>
    <t>5.85</t>
  </si>
  <si>
    <t>290.8</t>
  </si>
  <si>
    <t>37.9</t>
  </si>
  <si>
    <t>26.5</t>
  </si>
  <si>
    <t>4.03</t>
  </si>
  <si>
    <t>7.76</t>
  </si>
  <si>
    <t>50.9</t>
  </si>
  <si>
    <t>1.30</t>
  </si>
  <si>
    <t>0.751</t>
  </si>
  <si>
    <t>1.79</t>
  </si>
  <si>
    <t>Hình ảnh gan nhiễm mỡ độ II. Phì đại tiền liệt tuyến</t>
  </si>
  <si>
    <t>Mổ lấy sỏi thận trái 2016. Cao răng. Tăng đường huyết. Rối loạn mỡ máu. Gan nhiễm mỡ độ II. Phì đại tiền liệt tuyến.</t>
  </si>
  <si>
    <t>Bùi Thị Suốt</t>
  </si>
  <si>
    <t>26/04/1975</t>
  </si>
  <si>
    <t>130/76</t>
  </si>
  <si>
    <t>147.3</t>
  </si>
  <si>
    <t>6.74</t>
  </si>
  <si>
    <t>332.7</t>
  </si>
  <si>
    <t>2.39</t>
  </si>
  <si>
    <t>5.68</t>
  </si>
  <si>
    <t>5.7</t>
  </si>
  <si>
    <t>0.92</t>
  </si>
  <si>
    <t>19.6</t>
  </si>
  <si>
    <t>3.88</t>
  </si>
  <si>
    <t>6.96</t>
  </si>
  <si>
    <t>5-10</t>
  </si>
  <si>
    <t>1.26</t>
  </si>
  <si>
    <t>0.241</t>
  </si>
  <si>
    <t>Hình ảnh nhân hai thùy tuyến giáp TIRADS 3.</t>
  </si>
  <si>
    <t xml:space="preserve">     Không thấy tế bào ác tính.</t>
  </si>
  <si>
    <t>2 Mắt tật khúc xạ. Cao răng. Tăng đường máu. Rối loạn mỡ máu. Hồng cầu niệu. TSH giảm. Gan nhiễm mỡ nhẹ. Nhân 2 thùy tuyến giáp.</t>
  </si>
  <si>
    <t>Nguyễn Thị Ngoan</t>
  </si>
  <si>
    <t>01/04/1984</t>
  </si>
  <si>
    <t>128/89</t>
  </si>
  <si>
    <t>Xẹp nhĩ trái</t>
  </si>
  <si>
    <t>Mất R36</t>
  </si>
  <si>
    <t>4.77</t>
  </si>
  <si>
    <t>139.3</t>
  </si>
  <si>
    <t>7.33</t>
  </si>
  <si>
    <t>338.4</t>
  </si>
  <si>
    <t>5.58</t>
  </si>
  <si>
    <t>9.1</t>
  </si>
  <si>
    <t>2.96</t>
  </si>
  <si>
    <t>14.6</t>
  </si>
  <si>
    <t>3.62</t>
  </si>
  <si>
    <t>Hình ảnh nang thuỳ trái tuyến giáp TIRADS - 2. Nhân thuỳ trái tuyến giáp TIRADS - 3</t>
  </si>
  <si>
    <t>Hình ảnh theo dõi u máu gan phải.</t>
  </si>
  <si>
    <t>Hình ảnh nang tuyến vú hai bên BIRADS - 2. Nhân tuyến vú trái BIRADS - 3</t>
  </si>
  <si>
    <t>Hình ảnh Vẹo nhẹ cột sống</t>
  </si>
  <si>
    <t>Mổ lấy thai 1 lần. 2 Mắt viễn thị. Mất R36. Xẹp nhĩ trái. Rối loạn mỡ máu. Vẹo nhẹ cột sống. Nang thùy trái tuyến giáp. Nhân thùy trái tuyến giáp. Nang tuyến vú 2 bên. Nhân tuyến vú trái. Theo dõi u máu gan phải. Hồng cầu niệu.</t>
  </si>
  <si>
    <t>Lê Ngọc Lân</t>
  </si>
  <si>
    <t>27/02/1966</t>
  </si>
  <si>
    <t>167/94</t>
  </si>
  <si>
    <t>98</t>
  </si>
  <si>
    <t>Mất R14-15-16, Mất R41-42</t>
  </si>
  <si>
    <t>4.51</t>
  </si>
  <si>
    <t>139</t>
  </si>
  <si>
    <t>7.99</t>
  </si>
  <si>
    <t>212</t>
  </si>
  <si>
    <t>6.89</t>
  </si>
  <si>
    <t>5.78</t>
  </si>
  <si>
    <t>342.6</t>
  </si>
  <si>
    <t>12.7</t>
  </si>
  <si>
    <t>1.14</t>
  </si>
  <si>
    <t>19.3</t>
  </si>
  <si>
    <t>3.77</t>
  </si>
  <si>
    <t>7.05</t>
  </si>
  <si>
    <t>30.1</t>
  </si>
  <si>
    <t>0.908</t>
  </si>
  <si>
    <t>5.00</t>
  </si>
  <si>
    <t>Hình ảnh nang hai thuỳ và eo tuyến giáp - TIRADS 2.</t>
  </si>
  <si>
    <t>Hình ảnh nang thận hai bên.</t>
  </si>
  <si>
    <t>Hình ảnh dải xơ vùng hạ đòn phải</t>
  </si>
  <si>
    <t>T1 đanh. 2 Mắt tật khúc xạ. Mất R14-15-16, Mất R41-42. Tăng đường máu. Rối loạn mỡ máu. Dải xơ vùng hạ đòn phải. Nang thận 2 bên. Nang 2 thùy và eo tuyến giáp.</t>
  </si>
  <si>
    <t>Đinh Thị Thúy</t>
  </si>
  <si>
    <t>14/12/1987</t>
  </si>
  <si>
    <t>51</t>
  </si>
  <si>
    <t>129.6</t>
  </si>
  <si>
    <t>6.75</t>
  </si>
  <si>
    <t>189.6</t>
  </si>
  <si>
    <t>1.29</t>
  </si>
  <si>
    <t>4.64</t>
  </si>
  <si>
    <t>1.42</t>
  </si>
  <si>
    <t>13.9</t>
  </si>
  <si>
    <t>3.94</t>
  </si>
  <si>
    <t>4.88</t>
  </si>
  <si>
    <t>1.40</t>
  </si>
  <si>
    <t>4.87</t>
  </si>
  <si>
    <t>Hình ảnh tuyến giáp tăng kích thước. Nang hai thuỳ tuyến giáp TIRADS - 2</t>
  </si>
  <si>
    <t>Hình ảnh nhân tuyến vú phải BIRADS - 3</t>
  </si>
  <si>
    <t>Mổ viêm ruột thừa cấp 2014. Mổ lấy thai 1 lần. 2 Mắt tật khúc xạ. Cao răng. Nang thùy trái tuyến giáp. Gan nhiễm mỡ nhẹ</t>
  </si>
  <si>
    <t>Trần Vũ Thu Trang</t>
  </si>
  <si>
    <t>20/01/1983</t>
  </si>
  <si>
    <t>94/71</t>
  </si>
  <si>
    <t>76</t>
  </si>
  <si>
    <t>4.23</t>
  </si>
  <si>
    <t>9.47</t>
  </si>
  <si>
    <t>313</t>
  </si>
  <si>
    <t>3.75</t>
  </si>
  <si>
    <t>7.6</t>
  </si>
  <si>
    <t>0.91</t>
  </si>
  <si>
    <t>23.1</t>
  </si>
  <si>
    <t>2.33</t>
  </si>
  <si>
    <t>4.72</t>
  </si>
  <si>
    <t>1.55</t>
  </si>
  <si>
    <t>Hình ảnh nang tuyến vú trái (BI-RADS 2).</t>
  </si>
  <si>
    <t>Hình ảnh dụng cụ vật liệu can thiệp thông liên nhĩ</t>
  </si>
  <si>
    <t>Mổ lấy thai 2 lần. 2 mắt cận thị. Cao răng. Có dụng cụ vật liệu can thiệp thông liên nhĩ. Nang tuyến vú trái.</t>
  </si>
  <si>
    <t>Phạm Thị Loan</t>
  </si>
  <si>
    <t>02/03/1977</t>
  </si>
  <si>
    <t>126/87</t>
  </si>
  <si>
    <t>92</t>
  </si>
  <si>
    <t>Nhịp tim nhanh, Suy nhược thần kinh</t>
  </si>
  <si>
    <t>Viêm quanh răng 28. Cao răng</t>
  </si>
  <si>
    <t>4.57</t>
  </si>
  <si>
    <t>142</t>
  </si>
  <si>
    <t>8.85</t>
  </si>
  <si>
    <t>404</t>
  </si>
  <si>
    <t>1.66</t>
  </si>
  <si>
    <t>3.65</t>
  </si>
  <si>
    <t>6.33</t>
  </si>
  <si>
    <t>14.5</t>
  </si>
  <si>
    <t>2.62</t>
  </si>
  <si>
    <t>15.5</t>
  </si>
  <si>
    <t>4.04</t>
  </si>
  <si>
    <t>7.36</t>
  </si>
  <si>
    <t>1.70</t>
  </si>
  <si>
    <t>1.20</t>
  </si>
  <si>
    <t>Hình ảnh nhân hai thùy tuyến giáp- TIRADS 3. Nang thùy phải tuyến giáp TIRADS 2</t>
  </si>
  <si>
    <t>Nhịp tim nhanh, Suy nhược thần kinh. Viêm quanh răng 28. Cao răng. Nang tuyến vú trái. Tăng đường máu. Rối loạn mỡ máu. Hồng cầu niệu. Nhân 2 thùy tuyến giáp. Nang thùy phải tuyến giáp.</t>
  </si>
  <si>
    <t>Huỳnh Thị Hải Anh</t>
  </si>
  <si>
    <t>18/09/1974</t>
  </si>
  <si>
    <t>124/78</t>
  </si>
  <si>
    <t>95</t>
  </si>
  <si>
    <t>Lỗ dò luân nhĩ tai trái</t>
  </si>
  <si>
    <t>Mất R17, R27, Cao răng</t>
  </si>
  <si>
    <t>3.00</t>
  </si>
  <si>
    <t>124.9</t>
  </si>
  <si>
    <t>6.23</t>
  </si>
  <si>
    <t>333.4</t>
  </si>
  <si>
    <t>4.44</t>
  </si>
  <si>
    <t>13.7</t>
  </si>
  <si>
    <t>1.72</t>
  </si>
  <si>
    <t>3.35</t>
  </si>
  <si>
    <t>4.93</t>
  </si>
  <si>
    <t>1.08</t>
  </si>
  <si>
    <t>2.24</t>
  </si>
  <si>
    <t>5.89</t>
  </si>
  <si>
    <t>Hình ảnh nang thùy trái tuyến giáp TIRADS 2.</t>
  </si>
  <si>
    <t>Hình ảnh theo dõi u xơ tử cung.</t>
  </si>
  <si>
    <t>Hình ảnh nhân tuyến vú trái BIRADS 3.</t>
  </si>
  <si>
    <t>2 Mắt tật khúc xạ. Lỗ dò luân nhĩ tai trái. Mất R17, R27, Cao răng. Rối loạn mỡ máu. Hồng cầu to. Theo dõi u xơ tử cung. Nhân tuyến vú trái. Nang thùy trái tuyến giáp.</t>
  </si>
  <si>
    <t>Bùi Quý Khang</t>
  </si>
  <si>
    <t>19/09/1972</t>
  </si>
  <si>
    <t>138/94</t>
  </si>
  <si>
    <t>Mắt phải: Sẹo giác mạc</t>
  </si>
  <si>
    <t>Dò luân nhĩ tai phải</t>
  </si>
  <si>
    <t>Mất R37</t>
  </si>
  <si>
    <t>159</t>
  </si>
  <si>
    <t>7.74</t>
  </si>
  <si>
    <t>310</t>
  </si>
  <si>
    <t>9.07</t>
  </si>
  <si>
    <t>4.19</t>
  </si>
  <si>
    <t>356.9</t>
  </si>
  <si>
    <t>23.8</t>
  </si>
  <si>
    <t>2.71</t>
  </si>
  <si>
    <t>5.24</t>
  </si>
  <si>
    <t>21.7</t>
  </si>
  <si>
    <t>1.86</t>
  </si>
  <si>
    <t>0.851</t>
  </si>
  <si>
    <t>Hình ảnh gan nhiễm mỡ độ I. Nang thận phải. Phì đại tiền liệt tuyến.</t>
  </si>
  <si>
    <t>IV</t>
  </si>
  <si>
    <t>Béo phì BMI 30,11. Mắt phải: Sẹo giác mạc. Dò luân nhĩ tai phải. Mất R37. Tăng nhẹ FT4. Nhân 2 thuỳ tuyến giáp. Gan nhiễm mỡ độ I. Nang thận phải. Phì đại tiền liệt tuyến.</t>
  </si>
  <si>
    <t>Lê Công Minh</t>
  </si>
  <si>
    <t>15/05/1972</t>
  </si>
  <si>
    <t>110/70</t>
  </si>
  <si>
    <t>57</t>
  </si>
  <si>
    <t>Stent tim 2014 hiện điều trị đều</t>
  </si>
  <si>
    <t>Mất R16, Cao răng</t>
  </si>
  <si>
    <t>168</t>
  </si>
  <si>
    <t>9.71</t>
  </si>
  <si>
    <t>193</t>
  </si>
  <si>
    <t>0.81</t>
  </si>
  <si>
    <t>7.32</t>
  </si>
  <si>
    <t>3.22</t>
  </si>
  <si>
    <t>209.2</t>
  </si>
  <si>
    <t>18.2</t>
  </si>
  <si>
    <t>1.76</t>
  </si>
  <si>
    <t>20.4</t>
  </si>
  <si>
    <t>2.05</t>
  </si>
  <si>
    <t>11.40</t>
  </si>
  <si>
    <t>25.1</t>
  </si>
  <si>
    <t>250</t>
  </si>
  <si>
    <t>0.392</t>
  </si>
  <si>
    <t>2.09</t>
  </si>
  <si>
    <t>5.72</t>
  </si>
  <si>
    <t>Hình ảnh nang thuỳ trái tuyến giáp - TIRADS 2. Nhu mô hai thuỳ tuyến giáp âm không đồng nhất.</t>
  </si>
  <si>
    <t>Hình ảnh gan nhiễm mỡ. Nang thận trái.</t>
  </si>
  <si>
    <t>Stent tim 2014 hiện điều trị đều. Viêm họng mạn tính. Mất R16, Cao răng. Tăng đường máu. Rối loạn mỡ máu. Glucose niệu. Gan nhiễm mỡ. Nang thận trái. Nang thuỳ trái tuyến giáp. Nhu mô 2 thuỳ tuyến giáp âm không đồng nhất.</t>
  </si>
  <si>
    <t>Phạm Văn Thái</t>
  </si>
  <si>
    <t>20/11/1975</t>
  </si>
  <si>
    <t>113/68</t>
  </si>
  <si>
    <t>54</t>
  </si>
  <si>
    <t>Mổ ruột thừa năm 1997</t>
  </si>
  <si>
    <t>Cao răng, Mất R37</t>
  </si>
  <si>
    <t>140.7</t>
  </si>
  <si>
    <t>7.53</t>
  </si>
  <si>
    <t>337.1</t>
  </si>
  <si>
    <t>0.87</t>
  </si>
  <si>
    <t>5.90</t>
  </si>
  <si>
    <t>3.97</t>
  </si>
  <si>
    <t>523.8</t>
  </si>
  <si>
    <t>23.0</t>
  </si>
  <si>
    <t>2.49</t>
  </si>
  <si>
    <t>2.54</t>
  </si>
  <si>
    <t>5.06</t>
  </si>
  <si>
    <t>39.9</t>
  </si>
  <si>
    <t>1.54</t>
  </si>
  <si>
    <t>0.398</t>
  </si>
  <si>
    <t>0.173</t>
  </si>
  <si>
    <t>5.67</t>
  </si>
  <si>
    <t>Mổ ruột thừa năm 1997. Cao răng, Mất R37. Rối loạn mỡ máu. Tăng acid uric. Giảm TSH.</t>
  </si>
  <si>
    <t>Nguyễn Phương Nhung</t>
  </si>
  <si>
    <t>20/05/1986</t>
  </si>
  <si>
    <t>88</t>
  </si>
  <si>
    <t>Mổ lấy thai 3 lần</t>
  </si>
  <si>
    <t>6.09</t>
  </si>
  <si>
    <t>4.05</t>
  </si>
  <si>
    <t>4.59</t>
  </si>
  <si>
    <t>9.4</t>
  </si>
  <si>
    <t>2.14</t>
  </si>
  <si>
    <t>17.5</t>
  </si>
  <si>
    <t>3.07</t>
  </si>
  <si>
    <t>4.73</t>
  </si>
  <si>
    <t>Hình ảnh nhân thuỳ phải tuyến giáp - TIRADS 3.</t>
  </si>
  <si>
    <t>Hình ảnh theo dõi bệnh lý xốp tuỷ thận hai bên. Nhân xơ tử cung.</t>
  </si>
  <si>
    <t>Mổ lấy thai 3 lần. 2 Mắt tật khúc xạ. Cao răng. Nhân thuỳ phải tuyến giáp. Theo dõi bệnh lý xốp tuỷ thận 2 bên. Nhân xơ tử cung.</t>
  </si>
  <si>
    <t>Bùi Văn Tuân</t>
  </si>
  <si>
    <t>14/11/1965</t>
  </si>
  <si>
    <t>137/94</t>
  </si>
  <si>
    <t>87</t>
  </si>
  <si>
    <t>Tiền sử mổ cắt thận phải</t>
  </si>
  <si>
    <t>Viêm nang lông</t>
  </si>
  <si>
    <t>2 Mắt đục thuỷ tinh thể bắt đầu</t>
  </si>
  <si>
    <t>4.52</t>
  </si>
  <si>
    <t>162</t>
  </si>
  <si>
    <t>8.00</t>
  </si>
  <si>
    <t>180</t>
  </si>
  <si>
    <t>5.16</t>
  </si>
  <si>
    <t>4.95</t>
  </si>
  <si>
    <t>424.0</t>
  </si>
  <si>
    <t>29.3</t>
  </si>
  <si>
    <t>2.47</t>
  </si>
  <si>
    <t>28.9</t>
  </si>
  <si>
    <t>3.37</t>
  </si>
  <si>
    <t>7.83</t>
  </si>
  <si>
    <t>89.4</t>
  </si>
  <si>
    <t>1.74</t>
  </si>
  <si>
    <t>0.898</t>
  </si>
  <si>
    <t>5.81</t>
  </si>
  <si>
    <t>Hình ảnh nhân hai thuỳ tuyến giáp - TIRADS 3.</t>
  </si>
  <si>
    <t>Hình ảnh gan nhiễm mỡ. Sỏi thận trái. Giãn nhẹ đài bể thận trái.</t>
  </si>
  <si>
    <t>Tiền sử mổ cắt thận phải. Viêm nang lông. 2 Mắt đục thuỷ tinh thể bắt đầu. Viêm họng mạn tính. Cao răng. Tăng đường máu. Rối loạn mỡ máu. Tăng men gan. Nhân 2 thuỳ tuyến giáp. Gan nhiễm mỡ. Sỏi thận trái. Giãn nhẹ đài bể thận trái. Tăng acid uric.</t>
  </si>
  <si>
    <t>Nguyễn Kim Thịnh</t>
  </si>
  <si>
    <t>11/11/1979</t>
  </si>
  <si>
    <t>104/70</t>
  </si>
  <si>
    <t>Bướu cổ đơn thuần</t>
  </si>
  <si>
    <t>Viêm mũi dị ứng</t>
  </si>
  <si>
    <t>4.18</t>
  </si>
  <si>
    <t>131.9</t>
  </si>
  <si>
    <t>7.64</t>
  </si>
  <si>
    <t>204.7</t>
  </si>
  <si>
    <t>1.84</t>
  </si>
  <si>
    <t>27.9</t>
  </si>
  <si>
    <t>3.30</t>
  </si>
  <si>
    <t>0.968</t>
  </si>
  <si>
    <t>0.843</t>
  </si>
  <si>
    <t>Hình ảnh nhân hai thùy tuyến giáp- TIRADS3. Nang tuyến giáp trái TIRADS 2</t>
  </si>
  <si>
    <t>Hình ảnh gan nhiễm mỡ độ I. nang thận phải.</t>
  </si>
  <si>
    <t>Bướu cổ đơn thuần. 2 Mắt tật khúc xạ. Viêm mũi dị ứng. Gan nhiễm mỡ độ I. Nang thận phải. Nhân 2 thuỳ tuyến giáp. Nang tuyến giáp trái.</t>
  </si>
  <si>
    <t>Nguyễn Thị Thêu</t>
  </si>
  <si>
    <t>03/12/1975</t>
  </si>
  <si>
    <t>133/96</t>
  </si>
  <si>
    <t>78</t>
  </si>
  <si>
    <t>Tăng huyết áp điều trị đều, U tuyến thượng thận đã phẫu thuật</t>
  </si>
  <si>
    <t>Mổ u tuyến thượng thận trái</t>
  </si>
  <si>
    <t>4.11</t>
  </si>
  <si>
    <t>5.79</t>
  </si>
  <si>
    <t>201</t>
  </si>
  <si>
    <t>0.99</t>
  </si>
  <si>
    <t>6.31</t>
  </si>
  <si>
    <t>4.48</t>
  </si>
  <si>
    <t>9.2</t>
  </si>
  <si>
    <t>2.79</t>
  </si>
  <si>
    <t>15.9</t>
  </si>
  <si>
    <t>25</t>
  </si>
  <si>
    <t>1.53</t>
  </si>
  <si>
    <t>5.63</t>
  </si>
  <si>
    <t>Hình ảnh nang thận hai bên. Sỏi thận trái</t>
  </si>
  <si>
    <t>Tăng huyết áp điều trị đều, U tuyến thượng thận đã phẫu thuật. Mổ lấy thai 2 lần. Rối loạn mỡ máu. Nhân 2 thuỳ tuyến giáp. Nang tuyến vú phải. Nang thận 2 bên. Sỏi thận trái.</t>
  </si>
  <si>
    <t>Nguyễn Thị Thu Hằng</t>
  </si>
  <si>
    <t>09/10/1986</t>
  </si>
  <si>
    <t>105/70</t>
  </si>
  <si>
    <t>69</t>
  </si>
  <si>
    <t>139.4</t>
  </si>
  <si>
    <t>341.2</t>
  </si>
  <si>
    <t>1.32</t>
  </si>
  <si>
    <t>1.68</t>
  </si>
  <si>
    <t>19.0</t>
  </si>
  <si>
    <t>2.98</t>
  </si>
  <si>
    <t>300</t>
  </si>
  <si>
    <t>1.91</t>
  </si>
  <si>
    <t>5.38</t>
  </si>
  <si>
    <t>Hình ảnh nhân thuỳ trái tuyến giáp - TIRADS 3. Nang thuỳ phải tuyến giáp - TIRADS - 2.</t>
  </si>
  <si>
    <t>Hình ảnh nang thận phải</t>
  </si>
  <si>
    <t>Hình ảnh nang tuyến vú hai bên (BI-RADS 2).</t>
  </si>
  <si>
    <t>2 Mắt tật khúc xạ. Nang thận phải. Nhân thuỳ trái tuyến giáp. Nang thuỳ phải tuyến giáp. Nang tuyến vú 2 bên. Hồng cầu niệu.</t>
  </si>
  <si>
    <t>Bùi Thị Thu</t>
  </si>
  <si>
    <t>23/06/1980</t>
  </si>
  <si>
    <t>118/68</t>
  </si>
  <si>
    <t>2 mắt cận thị</t>
  </si>
  <si>
    <t>Mất R27</t>
  </si>
  <si>
    <t>4.54</t>
  </si>
  <si>
    <t>86</t>
  </si>
  <si>
    <t>6.65</t>
  </si>
  <si>
    <t>307</t>
  </si>
  <si>
    <t>3.95</t>
  </si>
  <si>
    <t>21.2</t>
  </si>
  <si>
    <t>1.18</t>
  </si>
  <si>
    <t>1.22</t>
  </si>
  <si>
    <t>Hình ảnh nhân thuỳ trái tuyến giáp - TIRADS 3. Nhu mô hai thuỳ tuyến giáp giảm âm không đồng nhất.</t>
  </si>
  <si>
    <t>Hình ảnh nhân tuyến vú phải (BI-RADS 4). Nhân tuyến vú phải (BI-RADS 3). Nang tuyến vú hai bên (BI-RADS 2).</t>
  </si>
  <si>
    <t>Thiếu máu nhẹ. Mổ lấy thai 2 lần. 2 mắt cận thị. Mất R27. Nhân thuỳ trái tuyến giáp. Nhu mô 2 thuỳ tuyến giáp giảm âm không đồng nhất. Nhân tuyến vú phải. Nang tuyến vú 2 bên.</t>
  </si>
  <si>
    <t>Nguyễn Thị Huệ</t>
  </si>
  <si>
    <t>28/06/1977</t>
  </si>
  <si>
    <t>117/69</t>
  </si>
  <si>
    <t>72</t>
  </si>
  <si>
    <t>Mắt trái tật khúc xạ</t>
  </si>
  <si>
    <t>4.28</t>
  </si>
  <si>
    <t>4.47</t>
  </si>
  <si>
    <t>176</t>
  </si>
  <si>
    <t>1.63</t>
  </si>
  <si>
    <t>12.5</t>
  </si>
  <si>
    <t>2.40</t>
  </si>
  <si>
    <t>2.28</t>
  </si>
  <si>
    <t>5.49</t>
  </si>
  <si>
    <t>Hình ảnh nhân thuỳ phải tuyến giáp - TIRADS 4.</t>
  </si>
  <si>
    <t>Hình ảnh nhân xơ tử cung. Nang Naboth cổ tử cung.</t>
  </si>
  <si>
    <t>Mắt trái tật khúc xạ. Nhân thuỳ phải tuyến giáp. Nhân xơ tử cung. Nang naboth cổ tử cung.</t>
  </si>
  <si>
    <t>Vũ Thị Hồng Khánh</t>
  </si>
  <si>
    <t>26/05/1983</t>
  </si>
  <si>
    <t>104/63</t>
  </si>
  <si>
    <t>66</t>
  </si>
  <si>
    <t>112.9</t>
  </si>
  <si>
    <t>6.46</t>
  </si>
  <si>
    <t>301.1</t>
  </si>
  <si>
    <t>0.60</t>
  </si>
  <si>
    <t>18.8</t>
  </si>
  <si>
    <t>1.06</t>
  </si>
  <si>
    <t>2.41</t>
  </si>
  <si>
    <t>Hình ảnh nhân hai thùy tuyến giáp- TIRADS 3.</t>
  </si>
  <si>
    <t>Mổ lấy thai 3 lần. 2 Mắt cận thị. Thiếu máu. Nhân 2 thuỳ tuyến giáp. Nang naboth cổ tử cung.</t>
  </si>
  <si>
    <t>Nguyễn Duy Hạnh</t>
  </si>
  <si>
    <t>140/90</t>
  </si>
  <si>
    <t>89</t>
  </si>
  <si>
    <t>Tăng huyết áp hiện đang điều trị</t>
  </si>
  <si>
    <t>7.04</t>
  </si>
  <si>
    <t>254</t>
  </si>
  <si>
    <t>9.23</t>
  </si>
  <si>
    <t>393.4</t>
  </si>
  <si>
    <t>20.2</t>
  </si>
  <si>
    <t>23.2</t>
  </si>
  <si>
    <t>6.10</t>
  </si>
  <si>
    <t>87.3</t>
  </si>
  <si>
    <t>0.337</t>
  </si>
  <si>
    <t>Hình ảnh nang hai thùy tuyến giáp TIRADS 2.</t>
  </si>
  <si>
    <t>Tăng huyết áp hiện đang điều trị. Cao răng. Tăng ure máu. Tăng men gan. Rối loạn mỡ máu. Gan nhiễm mỡ độ I. Nang 2 thuỳ tuyến giáp.</t>
  </si>
  <si>
    <t>Nguyễn Đức Dũng</t>
  </si>
  <si>
    <t>01/03/1992</t>
  </si>
  <si>
    <t>133/87</t>
  </si>
  <si>
    <t>59</t>
  </si>
  <si>
    <t>Mổ viêm ruột thừa cấp 2006</t>
  </si>
  <si>
    <t>Mắt phải cận thị</t>
  </si>
  <si>
    <t>4.33</t>
  </si>
  <si>
    <t>143</t>
  </si>
  <si>
    <t>7.15</t>
  </si>
  <si>
    <t>172</t>
  </si>
  <si>
    <t>5.92</t>
  </si>
  <si>
    <t>5.54</t>
  </si>
  <si>
    <t>384.6</t>
  </si>
  <si>
    <t>28.4</t>
  </si>
  <si>
    <t>1.82</t>
  </si>
  <si>
    <t>3.58</t>
  </si>
  <si>
    <t>5.39</t>
  </si>
  <si>
    <t>25.0</t>
  </si>
  <si>
    <t>1.41</t>
  </si>
  <si>
    <t>0.560</t>
  </si>
  <si>
    <t>1.94</t>
  </si>
  <si>
    <t>5.36</t>
  </si>
  <si>
    <t>Mắt phải cận thị. Tiền sử mổ viêm ruột thừa. Gan nhiễm mỡ.</t>
  </si>
  <si>
    <t>Đinh Thị Thủy</t>
  </si>
  <si>
    <t>15/08/1979</t>
  </si>
  <si>
    <t>106/72</t>
  </si>
  <si>
    <t>74</t>
  </si>
  <si>
    <t>120.5</t>
  </si>
  <si>
    <t>4.55</t>
  </si>
  <si>
    <t>252.0</t>
  </si>
  <si>
    <t>1.00</t>
  </si>
  <si>
    <t>5.74</t>
  </si>
  <si>
    <t>9.5</t>
  </si>
  <si>
    <t>5.42</t>
  </si>
  <si>
    <t>1.51</t>
  </si>
  <si>
    <t>Hình ảnh nang thuỳ phải tuyến giáp - TIRADS 2.</t>
  </si>
  <si>
    <t>2 Mắt tật khúc xạ. Rối loạn mỡ máu. Nang naboth cổ tử cung. Nang thuỳ phải tuyến giáp. Nang tuyến vú 2 bên.</t>
  </si>
  <si>
    <t>Phạm Chí Công</t>
  </si>
  <si>
    <t>27/07/1977</t>
  </si>
  <si>
    <t>64</t>
  </si>
  <si>
    <t>5.08</t>
  </si>
  <si>
    <t>154.7</t>
  </si>
  <si>
    <t>144.5</t>
  </si>
  <si>
    <t>4.53</t>
  </si>
  <si>
    <t>353.7</t>
  </si>
  <si>
    <t>28.8</t>
  </si>
  <si>
    <t>26.8</t>
  </si>
  <si>
    <t>1.56</t>
  </si>
  <si>
    <t>0.899</t>
  </si>
  <si>
    <t>1.37</t>
  </si>
  <si>
    <t>Phạm Thanh Nhàn</t>
  </si>
  <si>
    <t>30/08/1992</t>
  </si>
  <si>
    <t>120/80</t>
  </si>
  <si>
    <t>Nhịp tim nhanh</t>
  </si>
  <si>
    <t>4.61</t>
  </si>
  <si>
    <t>119.5</t>
  </si>
  <si>
    <t>7.55</t>
  </si>
  <si>
    <t>306.3</t>
  </si>
  <si>
    <t>0.86</t>
  </si>
  <si>
    <t>5.56</t>
  </si>
  <si>
    <t>3.82</t>
  </si>
  <si>
    <t>2.46</t>
  </si>
  <si>
    <t>26.4</t>
  </si>
  <si>
    <t>2.53</t>
  </si>
  <si>
    <t>6.38</t>
  </si>
  <si>
    <t>Hình ảnh nang hai thuỳ tuyến giáp - TIRADS 2.</t>
  </si>
  <si>
    <t>Hình ảnh gan nhiễm mỡ. Theo dõi Polyp buồng tử cung</t>
  </si>
  <si>
    <t>Nhịp tim nhanh. Mổ lấy thai 1 lần. 2 Mắt tật khúc xạ. Viêm họng mạn tính. Cao răng. Rối loạn mỡ máu. Thiếu máu nhẹ. Nang 2 thuỳ tuyến giáp. Theo dõi polyp buồng tử cung. Glucose niệu.</t>
  </si>
  <si>
    <t>Nguyễn Thị Thu Trang</t>
  </si>
  <si>
    <t>17/07/1984</t>
  </si>
  <si>
    <t>117/70</t>
  </si>
  <si>
    <t>3.86</t>
  </si>
  <si>
    <t>127</t>
  </si>
  <si>
    <t>150</t>
  </si>
  <si>
    <t>3.73</t>
  </si>
  <si>
    <t>20.0</t>
  </si>
  <si>
    <t>1.04</t>
  </si>
  <si>
    <t>21.3</t>
  </si>
  <si>
    <t>2.21</t>
  </si>
  <si>
    <t>5.04</t>
  </si>
  <si>
    <t>2.93</t>
  </si>
  <si>
    <t>4.74</t>
  </si>
  <si>
    <t>Hình ảnh nang tuyến vú phải (BI-RADS 2).</t>
  </si>
  <si>
    <t>Mổ lấy thai 3 lần. Nang tuyến vú phải. Nang thuỳ phải tuyến giáp.</t>
  </si>
  <si>
    <t>Nguyễn Văn Phú</t>
  </si>
  <si>
    <t>07/02/1968</t>
  </si>
  <si>
    <t>112/74</t>
  </si>
  <si>
    <t>2 Mắt theo dõi tật khúc xạ</t>
  </si>
  <si>
    <t>154</t>
  </si>
  <si>
    <t>4.82</t>
  </si>
  <si>
    <t>268.2</t>
  </si>
  <si>
    <t>7.69</t>
  </si>
  <si>
    <t>415.9</t>
  </si>
  <si>
    <t>26.3</t>
  </si>
  <si>
    <t>29.7</t>
  </si>
  <si>
    <t>3.72</t>
  </si>
  <si>
    <t>16.1</t>
  </si>
  <si>
    <t>0.809</t>
  </si>
  <si>
    <t>0.844</t>
  </si>
  <si>
    <t>6.18</t>
  </si>
  <si>
    <t>Hình ảnh sỏi thận trái.</t>
  </si>
  <si>
    <t>2 Mắt theo dõi tật khúc xạ. Viêm họng mạn tính. Cao răng. Rối loạn mỡ máu. Sỏi thận trái.</t>
  </si>
  <si>
    <t>Nguyễn Việt Thắng</t>
  </si>
  <si>
    <t>29/10/1973</t>
  </si>
  <si>
    <t>143/98</t>
  </si>
  <si>
    <t>Mất đốt giữa- xa ngón V tay trái</t>
  </si>
  <si>
    <t>Lỗ dò luận nhĩ 2 bên</t>
  </si>
  <si>
    <t>148.7</t>
  </si>
  <si>
    <t>6.30</t>
  </si>
  <si>
    <t>263.0</t>
  </si>
  <si>
    <t>13.2</t>
  </si>
  <si>
    <t>4.91</t>
  </si>
  <si>
    <t>6.01</t>
  </si>
  <si>
    <t>36.6</t>
  </si>
  <si>
    <t>0.264</t>
  </si>
  <si>
    <t>5.41</t>
  </si>
  <si>
    <t>Hình ảnh nhân thuỳ trái tuyến giáp - TIRADS 3.</t>
  </si>
  <si>
    <t>Hình ảnh gan nhiễm mỡ. Sỏi nhỏ thận trái.</t>
  </si>
  <si>
    <t>Mất đốt giữa- xa ngón V tay trái. Lỗ dò luận nhĩ 2 bên. Cao răng. Rối loạn mỡ máu. Nhân thuỳ trái tuyến giáp. Gan nhiễm mỡ. Sỏi thận trái.</t>
  </si>
  <si>
    <t>Bùi Thị Thu Hằng</t>
  </si>
  <si>
    <t>18/12/1988</t>
  </si>
  <si>
    <t>106/76</t>
  </si>
  <si>
    <t>3.99</t>
  </si>
  <si>
    <t>7.25</t>
  </si>
  <si>
    <t>205</t>
  </si>
  <si>
    <t>1.07</t>
  </si>
  <si>
    <t>9.6</t>
  </si>
  <si>
    <t>2.59</t>
  </si>
  <si>
    <t>15.7</t>
  </si>
  <si>
    <t>3.60</t>
  </si>
  <si>
    <t>1.85</t>
  </si>
  <si>
    <t>4.40</t>
  </si>
  <si>
    <t>Mổ lấy thai 2 lần. Rối loạn mỡ máu.</t>
  </si>
  <si>
    <t>Nguyễn Mai Phương</t>
  </si>
  <si>
    <t>31/10/1984</t>
  </si>
  <si>
    <t>93/63</t>
  </si>
  <si>
    <t>4.85</t>
  </si>
  <si>
    <t>139.6</t>
  </si>
  <si>
    <t>7.89</t>
  </si>
  <si>
    <t>250.6</t>
  </si>
  <si>
    <t>3.93</t>
  </si>
  <si>
    <t>3.74</t>
  </si>
  <si>
    <t>14.1</t>
  </si>
  <si>
    <t>17.9</t>
  </si>
  <si>
    <t>2.26</t>
  </si>
  <si>
    <t>5.27</t>
  </si>
  <si>
    <t>0.994</t>
  </si>
  <si>
    <t>Hình ảnh theo dõi u xơ tử cung. Theo dõi vôi hóa nhu mô tụy.</t>
  </si>
  <si>
    <t>Hình ảnh Cong vẹo cột sống</t>
  </si>
  <si>
    <t>Cong vẹo cột sống. Nang 2 thuỳ tuyến giáp. Nhân tuyến vú trái. Theo dõi u xơ tử cung. Theo dõi vôi hoá nhu mô tuỵ.</t>
  </si>
  <si>
    <t>Nguyễn Phong Cường</t>
  </si>
  <si>
    <t>06/10/1972</t>
  </si>
  <si>
    <t>123/82</t>
  </si>
  <si>
    <t>58</t>
  </si>
  <si>
    <t>Nhịp tim chậm</t>
  </si>
  <si>
    <t>5.30</t>
  </si>
  <si>
    <t>142.1</t>
  </si>
  <si>
    <t>7.18</t>
  </si>
  <si>
    <t>262.9</t>
  </si>
  <si>
    <t>0.90</t>
  </si>
  <si>
    <t>460.2</t>
  </si>
  <si>
    <t>30.6</t>
  </si>
  <si>
    <t>4.81</t>
  </si>
  <si>
    <t>27.6</t>
  </si>
  <si>
    <t>3.15</t>
  </si>
  <si>
    <t>47.7</t>
  </si>
  <si>
    <t>1.21</t>
  </si>
  <si>
    <t>0.543</t>
  </si>
  <si>
    <t>1.80</t>
  </si>
  <si>
    <t>Hình ảnh nhân thùy trái TIRADS 3.</t>
  </si>
  <si>
    <t>Hình ảnh gan nhiễm mỡ. Sỏi túi mật. Nang thận trái.</t>
  </si>
  <si>
    <t>BMI 29,98. Nhịp chậm đều. 2 Mắt tật khúc xạ. Cao răng. Rối loạn mỡ máu. Nhân thuỳ trái tuyến giáp. Gan nhiễm mỡ. Sỏi túi mật. Nang thận trái. Tăng acid uric.</t>
  </si>
  <si>
    <t>Nguyễn Đức Mạnh</t>
  </si>
  <si>
    <t>05/02/1982</t>
  </si>
  <si>
    <t>116/83</t>
  </si>
  <si>
    <t>4.66</t>
  </si>
  <si>
    <t>153</t>
  </si>
  <si>
    <t>4.12</t>
  </si>
  <si>
    <t>326.9</t>
  </si>
  <si>
    <t>13.1</t>
  </si>
  <si>
    <t>2.32</t>
  </si>
  <si>
    <t>17.8</t>
  </si>
  <si>
    <t>2.70</t>
  </si>
  <si>
    <t>5.46</t>
  </si>
  <si>
    <t>31.1</t>
  </si>
  <si>
    <t>0.506</t>
  </si>
  <si>
    <t>Hình ảnh gan nhiễm mỡ. Polyp túi mật.</t>
  </si>
  <si>
    <t>Cao răng. Rối loạn mỡ máu. Nang thuỳ phải tuyến giáp. Gan nhiễm mỡ. Polyp túi mật.</t>
  </si>
  <si>
    <t>Phạm Ngọc Bách</t>
  </si>
  <si>
    <t>06/11/1993</t>
  </si>
  <si>
    <t>139/95</t>
  </si>
  <si>
    <t>Mất R42</t>
  </si>
  <si>
    <t>151</t>
  </si>
  <si>
    <t>11.77</t>
  </si>
  <si>
    <t>4.14</t>
  </si>
  <si>
    <t>6.41</t>
  </si>
  <si>
    <t>358.4</t>
  </si>
  <si>
    <t>52.9</t>
  </si>
  <si>
    <t>31.7</t>
  </si>
  <si>
    <t>6.58</t>
  </si>
  <si>
    <t>55.7</t>
  </si>
  <si>
    <t>0.292</t>
  </si>
  <si>
    <t>2 Mắt cận thị. Tăng đường máu. Tăng men gan. Rối loạn mỡ máu. Gan nhiễm mỡ. Nang 2 thuỳ tuyến giáp. Mất R42.</t>
  </si>
  <si>
    <t>Nguyễn Hữu Đăng Khoa</t>
  </si>
  <si>
    <t>24/08/1999</t>
  </si>
  <si>
    <t>137.3</t>
  </si>
  <si>
    <t>11.73</t>
  </si>
  <si>
    <t>380.3</t>
  </si>
  <si>
    <t>2.69</t>
  </si>
  <si>
    <t>682.4</t>
  </si>
  <si>
    <t>90.8</t>
  </si>
  <si>
    <t>46.1</t>
  </si>
  <si>
    <t>3.78</t>
  </si>
  <si>
    <t>101.9</t>
  </si>
  <si>
    <t>6.02</t>
  </si>
  <si>
    <t>Hình ảnh gan nhiễm mỡ độ II. Nang thận trái</t>
  </si>
  <si>
    <t>Cao răng. Tăng men gan. Rối loạn mỡ máu. Tăng acid uric. Hồng cầu nhỏ nhược sắc. Gan nhiễm mỡ độ II. Nang thận trái.</t>
  </si>
  <si>
    <t>Lê Quang Huy</t>
  </si>
  <si>
    <t>23/06/1984</t>
  </si>
  <si>
    <t>122/93</t>
  </si>
  <si>
    <t>157</t>
  </si>
  <si>
    <t>7.29</t>
  </si>
  <si>
    <t>194</t>
  </si>
  <si>
    <t>0.79</t>
  </si>
  <si>
    <t>6.95</t>
  </si>
  <si>
    <t>432.8</t>
  </si>
  <si>
    <t>70.1</t>
  </si>
  <si>
    <t>36.5</t>
  </si>
  <si>
    <t>5.86</t>
  </si>
  <si>
    <t>45.3</t>
  </si>
  <si>
    <t>0.425</t>
  </si>
  <si>
    <t>3.18</t>
  </si>
  <si>
    <t>Mắt phải cận thị. Cao răng. Tăng men gan. Rối loạn mỡ máu. Tăng acid uric. Gan nhiễm mỡ. BMI 31.</t>
  </si>
  <si>
    <t>Đỗ Văn Minh</t>
  </si>
  <si>
    <t>17/04/1988</t>
  </si>
  <si>
    <t>9.25</t>
  </si>
  <si>
    <t>211</t>
  </si>
  <si>
    <t>430.4</t>
  </si>
  <si>
    <t>1.33</t>
  </si>
  <si>
    <t>22.9</t>
  </si>
  <si>
    <t>3.84</t>
  </si>
  <si>
    <t>38.2</t>
  </si>
  <si>
    <t>1.87</t>
  </si>
  <si>
    <t>Hình ảnh nhân thùy phải tuyến giáp - TIRADS 3. Nang hai thùy tuyến giáp TIRADS 2.</t>
  </si>
  <si>
    <t>Hình ảnh polyp túi mật.</t>
  </si>
  <si>
    <t>2 Mắt cận thị. Viêm nang lông. Rối loạn mỡ máu. Tăng acid uric. Nhân thuỳ phải tuyến giáp. Nang 2 thuỳ tuyến giáp. Polyp túi mật.</t>
  </si>
  <si>
    <t>Nguyễn Hải Yến</t>
  </si>
  <si>
    <t>16/10/1996</t>
  </si>
  <si>
    <t>103/65</t>
  </si>
  <si>
    <t>Mắt trái: Xuất huyết kết mạc, Cận thị</t>
  </si>
  <si>
    <t>126</t>
  </si>
  <si>
    <t>5.73</t>
  </si>
  <si>
    <t>234</t>
  </si>
  <si>
    <t>3.48</t>
  </si>
  <si>
    <t>15.3</t>
  </si>
  <si>
    <t>20.6</t>
  </si>
  <si>
    <t>5.23</t>
  </si>
  <si>
    <t>4.50</t>
  </si>
  <si>
    <t>Mắt trái: Xuất huyết kết mạc, Cận thị. Mổ lấy thai 2 lần. Nang 2 thuỳ tuyến giáp. Nang tuyến vú trái. Hồng cầu niệu. Bạch cầu niệu.</t>
  </si>
  <si>
    <t>Đàm Văn Vinh</t>
  </si>
  <si>
    <t>12/02/1985</t>
  </si>
  <si>
    <t>114/79</t>
  </si>
  <si>
    <t>U mềm treo</t>
  </si>
  <si>
    <t>140</t>
  </si>
  <si>
    <t>10.21</t>
  </si>
  <si>
    <t>341</t>
  </si>
  <si>
    <t>7.61</t>
  </si>
  <si>
    <t>341.9</t>
  </si>
  <si>
    <t>23.9</t>
  </si>
  <si>
    <t>2.23</t>
  </si>
  <si>
    <t>5.14</t>
  </si>
  <si>
    <t>1.48</t>
  </si>
  <si>
    <t>0.322</t>
  </si>
  <si>
    <t>2.04</t>
  </si>
  <si>
    <t>5.99</t>
  </si>
  <si>
    <t xml:space="preserve">2 Mắt cận thị. Lỗ dò luân nhĩ tai trái. Cao răng. U mềm treo. </t>
  </si>
  <si>
    <t>Nguyễn Thị Hạnh</t>
  </si>
  <si>
    <t>14/09/1986</t>
  </si>
  <si>
    <t>108/77</t>
  </si>
  <si>
    <t>Mổ cắt tử cung 2018</t>
  </si>
  <si>
    <t>4.27</t>
  </si>
  <si>
    <t>132</t>
  </si>
  <si>
    <t>10.53</t>
  </si>
  <si>
    <t>336</t>
  </si>
  <si>
    <t>1.12</t>
  </si>
  <si>
    <t>3.66</t>
  </si>
  <si>
    <t>5.13</t>
  </si>
  <si>
    <t>8.6</t>
  </si>
  <si>
    <t>3.56</t>
  </si>
  <si>
    <t>2.67</t>
  </si>
  <si>
    <t>Hình ảnh gan nhiễm mỡ. Theo dõi u cơ mỡ mạch thận phải</t>
  </si>
  <si>
    <t>Hình ảnh nang tuyến vú hai bên (BI-RADS 2). Nhân tuyến vú phải BIRADS - 3</t>
  </si>
  <si>
    <t>Mổ cắt tử cung 2018. Nang tuyến vú 2 bên. Nhân tuyến vú phải. Gan nhiễm mỡ. Theo dõi u cơ mỡ mạch thận phải. Hồng cầu niệu.</t>
  </si>
  <si>
    <t>Nguyễn Bá Thuận</t>
  </si>
  <si>
    <t>15/07/1989</t>
  </si>
  <si>
    <t>129/93</t>
  </si>
  <si>
    <t>Mất R35</t>
  </si>
  <si>
    <t>9.59</t>
  </si>
  <si>
    <t>293</t>
  </si>
  <si>
    <t>498.2</t>
  </si>
  <si>
    <t>53.6</t>
  </si>
  <si>
    <t>5.88</t>
  </si>
  <si>
    <t>33.6</t>
  </si>
  <si>
    <t>3.50</t>
  </si>
  <si>
    <t>5.11</t>
  </si>
  <si>
    <t>87.1</t>
  </si>
  <si>
    <t>1.45</t>
  </si>
  <si>
    <t>Hình ảnh gan nhiễm mỡ độ II.</t>
  </si>
  <si>
    <t>2 Mắt cận thị. Mất R35. Gan nhiễm mỡ độ II. Men gan tăng. Rối loạn mỡ máu. Tăng aicd uric.</t>
  </si>
  <si>
    <t>Nguyễn Mạnh Cường</t>
  </si>
  <si>
    <t>09/02/1994</t>
  </si>
  <si>
    <t>117/76</t>
  </si>
  <si>
    <t>Mắt trái: Tật khúc xạ, 2 Mắt tiền sử mổ cận thị</t>
  </si>
  <si>
    <t>149.4</t>
  </si>
  <si>
    <t>8.07</t>
  </si>
  <si>
    <t>231.1</t>
  </si>
  <si>
    <t>3.45</t>
  </si>
  <si>
    <t>449.0</t>
  </si>
  <si>
    <t>1.98</t>
  </si>
  <si>
    <t>25.6</t>
  </si>
  <si>
    <t>4.98</t>
  </si>
  <si>
    <t>105.6</t>
  </si>
  <si>
    <t>0.873</t>
  </si>
  <si>
    <t>3.34</t>
  </si>
  <si>
    <t>6.16</t>
  </si>
  <si>
    <t>Mắt trái: Tật khúc xạ, 2 Mắt tiền sử mổ cận thị. Tăng men gan. Tăng acid uric</t>
  </si>
  <si>
    <t>Triệu Ngọc Anh</t>
  </si>
  <si>
    <t>29/12/1990</t>
  </si>
  <si>
    <t>124/93</t>
  </si>
  <si>
    <t>77</t>
  </si>
  <si>
    <t>Mổ viêm ruột thừa cấp 2013</t>
  </si>
  <si>
    <t>171.2</t>
  </si>
  <si>
    <t>8.08</t>
  </si>
  <si>
    <t>242.3</t>
  </si>
  <si>
    <t>455.8</t>
  </si>
  <si>
    <t>61.4</t>
  </si>
  <si>
    <t>2.86</t>
  </si>
  <si>
    <t>30.0</t>
  </si>
  <si>
    <t>3.61</t>
  </si>
  <si>
    <t>112.6</t>
  </si>
  <si>
    <t>0.886</t>
  </si>
  <si>
    <t>2.01</t>
  </si>
  <si>
    <t>5.91</t>
  </si>
  <si>
    <t>Hình ảnh nang hai thùy tuyến giáp TIRADS 2. Nhân thùy trái tuyến giáp TIRADS 3.</t>
  </si>
  <si>
    <t>Hình ảnh gan nhiễm mỡ nhẹ</t>
  </si>
  <si>
    <t>Mổ viêm ruột thừa cấp 2013. Cao răng. Tăng men gan. Rối loạn mỡ máu. Tăng acid uric. Nang 2 thuỳ tuyến giáp. Gan nhiễm mỡ nhẹ. BMI 29,2</t>
  </si>
  <si>
    <t>Phạm Viết Hòa</t>
  </si>
  <si>
    <t>25/10/1975</t>
  </si>
  <si>
    <t>63</t>
  </si>
  <si>
    <t>Mổ cắt bán phần tuyến giáp</t>
  </si>
  <si>
    <t>6.14</t>
  </si>
  <si>
    <t>161.8</t>
  </si>
  <si>
    <t>1.59</t>
  </si>
  <si>
    <t>310.6</t>
  </si>
  <si>
    <t>18.0</t>
  </si>
  <si>
    <t>28.7</t>
  </si>
  <si>
    <t>27.3</t>
  </si>
  <si>
    <t>6.21</t>
  </si>
  <si>
    <t>Hình ảnh nhân thuỳ phải tuyến giáp - TIRADS 3. Nang thuỳ phải tuyến giáp - TIRADS 2.</t>
  </si>
  <si>
    <t>Mổ cắt bán phần tuyến giáp. Nhân thuỳ phải tuyến giáp. Nang thuỳ phải tuyến giáp.</t>
  </si>
  <si>
    <t>Mông Thị Trang</t>
  </si>
  <si>
    <t>25/07/1977</t>
  </si>
  <si>
    <t>Cắt lách 2008</t>
  </si>
  <si>
    <t>8.09</t>
  </si>
  <si>
    <t>282</t>
  </si>
  <si>
    <t>10.5</t>
  </si>
  <si>
    <t>17.0</t>
  </si>
  <si>
    <t>1.96</t>
  </si>
  <si>
    <t>Hình ảnh nhân xơ tử cung.</t>
  </si>
  <si>
    <t>Cắt lách 2008. 2 Mắt tật khúc xạ. Nhân xơ tử cung. Nhân 2 thuỳ tuyến giáp.</t>
  </si>
  <si>
    <t>Nguyễn Quang Phúc</t>
  </si>
  <si>
    <t>30/09/1986</t>
  </si>
  <si>
    <t>140/83</t>
  </si>
  <si>
    <t>220</t>
  </si>
  <si>
    <t>400.3</t>
  </si>
  <si>
    <t>3.36</t>
  </si>
  <si>
    <t>27.8</t>
  </si>
  <si>
    <t>1.05</t>
  </si>
  <si>
    <t>2.36</t>
  </si>
  <si>
    <t>6.48</t>
  </si>
  <si>
    <t>Hình ảnh nhân thùy phải tuyến giáp - TIRADS 3. Nang thùy trái tuyến giáp TIRADS 2</t>
  </si>
  <si>
    <t>Cao răng. Nhân thuỳ phải tuyến giáp. Nang thuỳ trái tuyến giáp.</t>
  </si>
  <si>
    <t>Nguyễn Hữu Hiếu</t>
  </si>
  <si>
    <t>26/10/1982</t>
  </si>
  <si>
    <t>134/93</t>
  </si>
  <si>
    <t>5.51</t>
  </si>
  <si>
    <t>156.7</t>
  </si>
  <si>
    <t>8.04</t>
  </si>
  <si>
    <t>285.2</t>
  </si>
  <si>
    <t>383.2</t>
  </si>
  <si>
    <t>14.0</t>
  </si>
  <si>
    <t>3.26</t>
  </si>
  <si>
    <t>18.9</t>
  </si>
  <si>
    <t>21.5</t>
  </si>
  <si>
    <t>0.403</t>
  </si>
  <si>
    <t>2.74</t>
  </si>
  <si>
    <t>5.10</t>
  </si>
  <si>
    <t>Cao răng. Rối loạn mỡ máu. Gan nhiễm mỡ nhẹ.</t>
  </si>
  <si>
    <t>Nguyễn Văn Minh</t>
  </si>
  <si>
    <t>10/02/1983</t>
  </si>
  <si>
    <t>100/70</t>
  </si>
  <si>
    <t>5.62</t>
  </si>
  <si>
    <t>162.5</t>
  </si>
  <si>
    <t>9.46</t>
  </si>
  <si>
    <t>311.9</t>
  </si>
  <si>
    <t>315.7</t>
  </si>
  <si>
    <t>14.9</t>
  </si>
  <si>
    <t>2.31</t>
  </si>
  <si>
    <t>24.2</t>
  </si>
  <si>
    <t>0.546</t>
  </si>
  <si>
    <t>Hình ảnh gan nhiễm mỡ. Cholesterol bám thành túi mật.</t>
  </si>
  <si>
    <t>Cao răng, Mất R37. Rối loạn mỡ máu. Tăng nhẹ kích thước 2 thuỳ tuyến giáp. Gan nhiễm mỡ. Cholesterol bám thành túi mật.</t>
  </si>
  <si>
    <t>Lê Đức Cường</t>
  </si>
  <si>
    <t>01/12/1983</t>
  </si>
  <si>
    <t>130/77</t>
  </si>
  <si>
    <t>U bã đậu, Trứng cá</t>
  </si>
  <si>
    <t>5.28</t>
  </si>
  <si>
    <t>159.1</t>
  </si>
  <si>
    <t>9.02</t>
  </si>
  <si>
    <t>334.5</t>
  </si>
  <si>
    <t>0.66</t>
  </si>
  <si>
    <t>5.01</t>
  </si>
  <si>
    <t>383.7</t>
  </si>
  <si>
    <t>185.1</t>
  </si>
  <si>
    <t>0.837</t>
  </si>
  <si>
    <t>3.05</t>
  </si>
  <si>
    <t>6.52</t>
  </si>
  <si>
    <t>U bã đậu, Trứng cá. Cao răng. Tăng men gan. Rối loạn mỡ máu. Polyp túi mật.</t>
  </si>
  <si>
    <t>Trần Văn Mạnh</t>
  </si>
  <si>
    <t>06/06/1996</t>
  </si>
  <si>
    <t>138/85</t>
  </si>
  <si>
    <t>8.14</t>
  </si>
  <si>
    <t>210</t>
  </si>
  <si>
    <t>6.00</t>
  </si>
  <si>
    <t>375.7</t>
  </si>
  <si>
    <t>40.3</t>
  </si>
  <si>
    <t>1.89</t>
  </si>
  <si>
    <t>6.07</t>
  </si>
  <si>
    <t>312.2</t>
  </si>
  <si>
    <t>Hình ảnh nang thùy phải tuyến giáp - TIRADS 2.</t>
  </si>
  <si>
    <t>Hình ảnh gan nhiễm mỡ .</t>
  </si>
  <si>
    <t>Cao răng. Tăng men gan. Rối loạn mỡ máu. Nang thuỳ phải tuyến giáp. Gan nhiễm mỡ.</t>
  </si>
  <si>
    <t>Nguyễn Thị Khánh Vân</t>
  </si>
  <si>
    <t>14/05/2002</t>
  </si>
  <si>
    <t>127/92</t>
  </si>
  <si>
    <t>Mất R46</t>
  </si>
  <si>
    <t>4.37</t>
  </si>
  <si>
    <t>129.8</t>
  </si>
  <si>
    <t>273.5</t>
  </si>
  <si>
    <t>5.95</t>
  </si>
  <si>
    <t>12.8</t>
  </si>
  <si>
    <t>18.6</t>
  </si>
  <si>
    <t>2.11</t>
  </si>
  <si>
    <t>75</t>
  </si>
  <si>
    <t>3.69</t>
  </si>
  <si>
    <t>5.70</t>
  </si>
  <si>
    <t>Hình ảnh vẹo nhẹ cột sống</t>
  </si>
  <si>
    <t>2 Mắt tật khúc xạ. Mất R46. Bạch cầu niệu. Vẹo nhẹ cột sống. Nang thuỳ trái tuyến giáp.</t>
  </si>
  <si>
    <t>Mạc Văn Nghĩa</t>
  </si>
  <si>
    <t>13/10/1978</t>
  </si>
  <si>
    <t>109/72</t>
  </si>
  <si>
    <t>Mắt trái: Tiền sử phẫu thuật u mỡ mi mắt</t>
  </si>
  <si>
    <t>6.64</t>
  </si>
  <si>
    <t>215</t>
  </si>
  <si>
    <t>1.25</t>
  </si>
  <si>
    <t>353.2</t>
  </si>
  <si>
    <t>4.2</t>
  </si>
  <si>
    <t>0.67</t>
  </si>
  <si>
    <t>19.7</t>
  </si>
  <si>
    <t>2.51</t>
  </si>
  <si>
    <t>22.7</t>
  </si>
  <si>
    <t>0.635</t>
  </si>
  <si>
    <t>Mắt trái: Tiền sử phẫu thuật u mỡ mi mắt. Mất R16, Cao răng. Gan nhiễm mỡ độ I</t>
  </si>
  <si>
    <t>Trần Văn Kiên</t>
  </si>
  <si>
    <t>20/05/1988</t>
  </si>
  <si>
    <t>128/83</t>
  </si>
  <si>
    <t>Lỗ dò luân nhĩ 2 bên, Viêm họng mạn tính</t>
  </si>
  <si>
    <t>202</t>
  </si>
  <si>
    <t>6.49</t>
  </si>
  <si>
    <t>321.1</t>
  </si>
  <si>
    <t>18.7</t>
  </si>
  <si>
    <t>2.18</t>
  </si>
  <si>
    <t>23.5</t>
  </si>
  <si>
    <t>5.87</t>
  </si>
  <si>
    <t>34.0</t>
  </si>
  <si>
    <t>0.349</t>
  </si>
  <si>
    <t>Chưa thấy bất thường trên phim chụp C1-C2 thẳng nghiêng</t>
  </si>
  <si>
    <t>Lỗ dò luân nhĩ 2 bên, Viêm họng mạn tính. Rối loạn mỡ máu.</t>
  </si>
  <si>
    <t>Nguyễn Thanh Lâm</t>
  </si>
  <si>
    <t>25/06/1979</t>
  </si>
  <si>
    <t>136/92</t>
  </si>
  <si>
    <t>Tăng huyết áp điều trị đều, Liệt VII nhẹ</t>
  </si>
  <si>
    <t>2 mắt tật khúc xạ</t>
  </si>
  <si>
    <t>Cao răng, Mất R47</t>
  </si>
  <si>
    <t>8.78</t>
  </si>
  <si>
    <t>190</t>
  </si>
  <si>
    <t>0.72</t>
  </si>
  <si>
    <t>5.32</t>
  </si>
  <si>
    <t>411.0</t>
  </si>
  <si>
    <t>65.5</t>
  </si>
  <si>
    <t>121.6</t>
  </si>
  <si>
    <t>0.796</t>
  </si>
  <si>
    <t>Hình ảnh nhân hai thuỳ tuyến giáp - TIRADS 3. Nang thuỳ phải tuyến giáp - TIRADS 2.</t>
  </si>
  <si>
    <t>Tăng huyết áp điều trị đều, Liệt VII nhẹ. 2 mắt tật khúc xạ. Viêm họng mạn tính. Cao răng, Mất R47. Nhân 2 thuỳ tuyến giáp. Nang thuỳ pahir tuyến giáp. Gan nhiễm mỡ. Tăng đường máu. Tăng men gan. Rối loạn mỡ máu.</t>
  </si>
  <si>
    <t>Nguyễn Văn Trường</t>
  </si>
  <si>
    <t>22/02/1979</t>
  </si>
  <si>
    <t>116/73</t>
  </si>
  <si>
    <t>Mổ gãy xương đòn trái</t>
  </si>
  <si>
    <t>4.58</t>
  </si>
  <si>
    <t>152</t>
  </si>
  <si>
    <t>6.51</t>
  </si>
  <si>
    <t>251</t>
  </si>
  <si>
    <t>264.5</t>
  </si>
  <si>
    <t>46.9</t>
  </si>
  <si>
    <t>34.8</t>
  </si>
  <si>
    <t>3.68</t>
  </si>
  <si>
    <t>5.19</t>
  </si>
  <si>
    <t>113.4</t>
  </si>
  <si>
    <t>0.340</t>
  </si>
  <si>
    <t>2.48</t>
  </si>
  <si>
    <t>Hình ảnh nhân thùy phải tuyến giáp - TIRADS 3.</t>
  </si>
  <si>
    <t>Hình ảnh gan nhiễm mỡ độ I. Nốt vôi hóa gan phải.</t>
  </si>
  <si>
    <t>Mổ gãy xương đòn trái. Viêm họng mạn tính. Cao răng. Tăng men gan. Rối loạn mỡ máu. Gan nhiễm mỡ độ I. Nốt vôi hoá gan phải. Nhân thuỳ phải tuyến giáp.</t>
  </si>
  <si>
    <t>Đào Đình Quang Huy</t>
  </si>
  <si>
    <t>12/06/1993</t>
  </si>
  <si>
    <t>115/84</t>
  </si>
  <si>
    <t>56</t>
  </si>
  <si>
    <t>2 Mắt cận loạn thị</t>
  </si>
  <si>
    <t>Vỡ 1 bên R45</t>
  </si>
  <si>
    <t>6.20</t>
  </si>
  <si>
    <t>186</t>
  </si>
  <si>
    <t>374.1</t>
  </si>
  <si>
    <t>22.6</t>
  </si>
  <si>
    <t>1.88</t>
  </si>
  <si>
    <t>26.0</t>
  </si>
  <si>
    <t>0.427</t>
  </si>
  <si>
    <t>2 Mắt cận loạn thị. Vỡ 1 bên R45.</t>
  </si>
  <si>
    <t>Nguyễn Thị Mùi</t>
  </si>
  <si>
    <t>18/01/1980</t>
  </si>
  <si>
    <t>100/60</t>
  </si>
  <si>
    <t>Mổ tái tạo dây chằng chéo gối phải</t>
  </si>
  <si>
    <t>4.16</t>
  </si>
  <si>
    <t>141</t>
  </si>
  <si>
    <t>10.31</t>
  </si>
  <si>
    <t>309</t>
  </si>
  <si>
    <t>37.4</t>
  </si>
  <si>
    <t>3.76</t>
  </si>
  <si>
    <t>35.7</t>
  </si>
  <si>
    <t>1.13</t>
  </si>
  <si>
    <t>Hình ảnh gan nhiễm mỡ . Sỏi thận phải.</t>
  </si>
  <si>
    <t>Mổ tái tạo dây chằng chéo gối phải. 2 Mắt cận thị. Tăng men gan. Rối loạn mỡ máu. Hồng cầu nhỏ nhược sắc. Nhân 2 thuỳ tuyến giáp. Gan nhiễm mỡ. Sỏi thận phải.</t>
  </si>
  <si>
    <t>TRƯỜNG ĐẠI HỌC 
KỸ THUẬT Y TẾ HẢI DƯƠNG</t>
  </si>
  <si>
    <t>CỘNG HÒA XÃ HỘI CHỦ NGHĨA VIỆT NAM</t>
  </si>
  <si>
    <t>Độc lập - Tự do - Hạnh phúc</t>
  </si>
  <si>
    <t>BỆNH VIỆN</t>
  </si>
  <si>
    <t>BẢNG TỔNG HỢP KINH PHÍ KHÁM SỨC KHOẺ</t>
  </si>
  <si>
    <t>"Về việc khám sức khoẻ cho CBNV của  Công ty TNHH MTV Xổ số Kiến thiết Hải Dương</t>
  </si>
  <si>
    <t>Theo HĐ số 1253/HĐKT ngày 18 tháng 08 năm 2026"</t>
  </si>
  <si>
    <t>HỌ VÀ TÊN</t>
  </si>
  <si>
    <t>Năm sinh</t>
  </si>
  <si>
    <t>Khám sức khỏe toàn diện</t>
  </si>
  <si>
    <t>Khám sản</t>
  </si>
  <si>
    <t>Siêu âm vú</t>
  </si>
  <si>
    <t>Xquang ngực thẳng</t>
  </si>
  <si>
    <t>Tổng phân tích tế bào máu ngoại vi</t>
  </si>
  <si>
    <t>Ure</t>
  </si>
  <si>
    <t>AST</t>
  </si>
  <si>
    <t>ALT</t>
  </si>
  <si>
    <t>GGT</t>
  </si>
  <si>
    <t>Glucose máu</t>
  </si>
  <si>
    <t>Cholesterol</t>
  </si>
  <si>
    <t>Triglycerid</t>
  </si>
  <si>
    <t>HDL</t>
  </si>
  <si>
    <t>LDL</t>
  </si>
  <si>
    <t>Acid uric</t>
  </si>
  <si>
    <t>FT3</t>
  </si>
  <si>
    <t>FT4</t>
  </si>
  <si>
    <t>TSH</t>
  </si>
  <si>
    <t>PSA toàn phần</t>
  </si>
  <si>
    <t xml:space="preserve">Tổng phân tích nước tiểu </t>
  </si>
  <si>
    <t>Nhóm máu ABO</t>
  </si>
  <si>
    <t>Tổng tiền</t>
  </si>
  <si>
    <t>Tổng</t>
  </si>
  <si>
    <t>Tổng số tiền bằng chữ: Bảy mươi triệu năm trăm mười ba nghìn hai trăm đồng ./.</t>
  </si>
  <si>
    <t>Hải Phòng ngày 4 tháng 9 năm 2026</t>
  </si>
  <si>
    <t>KHOA KHÁM BỆNH</t>
  </si>
  <si>
    <t>KẾ TOÁN</t>
  </si>
  <si>
    <t>LÃNH ĐẠO BỆNH VIỆN</t>
  </si>
  <si>
    <t>(Ký, ghi rõ họ tên)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</si>
</sst>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 ?/?"/>
  </numFmts>
  <fonts count="59">
    <font>
      <sz val="11"/>
      <color theme="1"/>
      <name val="Calibri"/>
      <charset val="134"/>
      <scheme val="minor"/>
    </font>
    <font>
      <sz val="12"/>
      <color theme="1"/>
      <name val="Calibri"/>
      <charset val="134"/>
      <scheme val="minor"/>
    </font>
    <font>
      <sz val="10"/>
      <color theme="1"/>
      <name val="Calibri"/>
      <charset val="134"/>
      <scheme val="minor"/>
    </font>
    <font>
      <b/>
      <sz val="10"/>
      <color theme="1"/>
      <name val="Calibri"/>
      <charset val="134"/>
      <scheme val="minor"/>
    </font>
    <font>
      <sz val="10"/>
      <color theme="1"/>
      <name val="Times New Roman"/>
      <charset val="134"/>
    </font>
    <font>
      <b/>
      <sz val="10"/>
      <color theme="1"/>
      <name val="Times New Roman"/>
      <charset val="134"/>
    </font>
    <font>
      <i/>
      <sz val="10"/>
      <color theme="1"/>
      <name val="Times New Roman"/>
      <charset val="134"/>
    </font>
    <font>
      <sz val="12"/>
      <name val="Times New Roman"/>
      <charset val="134"/>
    </font>
    <font>
      <sz val="12"/>
      <color theme="1"/>
      <name val="Times New Roman"/>
      <charset val="134"/>
    </font>
    <font>
      <b/>
      <sz val="12"/>
      <color theme="1"/>
      <name val="Times New Roman"/>
      <charset val="134"/>
    </font>
    <font>
      <b/>
      <u/>
      <sz val="12"/>
      <color theme="1"/>
      <name val="Times New Roman"/>
      <charset val="134"/>
    </font>
    <font>
      <sz val="12"/>
      <color rgb="FF000000"/>
      <name val="Calibri"/>
      <charset val="134"/>
      <scheme val="minor"/>
    </font>
    <font>
      <i/>
      <sz val="12"/>
      <name val="Times New Roman"/>
      <charset val="134"/>
    </font>
    <font>
      <i/>
      <sz val="12"/>
      <color theme="1"/>
      <name val="Times New Roman"/>
      <charset val="134"/>
    </font>
    <font>
      <sz val="10"/>
      <color rgb="FF000000"/>
      <name val="Calibri"/>
      <charset val="134"/>
      <scheme val="minor"/>
    </font>
    <font>
      <b/>
      <sz val="10"/>
      <name val="Times New Roman"/>
      <charset val="134"/>
    </font>
    <font>
      <sz val="10"/>
      <color indexed="8"/>
      <name val="Times New Roman"/>
      <charset val="0"/>
    </font>
    <font>
      <b/>
      <i/>
      <sz val="10"/>
      <color theme="1"/>
      <name val="Times New Roman"/>
      <charset val="134"/>
    </font>
    <font>
      <b/>
      <sz val="11"/>
      <color indexed="8"/>
      <name val="Times New Roman"/>
      <charset val="0"/>
    </font>
    <font>
      <sz val="10"/>
      <name val="Times New Roman"/>
      <charset val="0"/>
    </font>
    <font>
      <b/>
      <sz val="11"/>
      <name val="Times New Roman"/>
      <charset val="0"/>
    </font>
    <font>
      <sz val="13"/>
      <name val="Calibri"/>
      <charset val="134"/>
      <scheme val="minor"/>
    </font>
    <font>
      <sz val="11"/>
      <name val="Calibri"/>
      <charset val="134"/>
      <scheme val="minor"/>
    </font>
    <font>
      <sz val="13"/>
      <name val="Times New Roman"/>
      <charset val="134"/>
    </font>
    <font>
      <b/>
      <sz val="13"/>
      <name val="Times New Roman"/>
      <charset val="134"/>
    </font>
    <font>
      <b/>
      <sz val="12"/>
      <name val="Times New Roman"/>
      <charset val="134"/>
    </font>
    <font>
      <i/>
      <sz val="13"/>
      <name val="Times New Roman"/>
      <charset val="134"/>
    </font>
    <font>
      <b/>
      <sz val="14"/>
      <name val="Times New Roman"/>
      <charset val="134"/>
    </font>
    <font>
      <sz val="14"/>
      <name val="Times New Roman"/>
      <charset val="134"/>
    </font>
    <font>
      <b/>
      <i/>
      <u/>
      <sz val="13"/>
      <name val="Times New Roman"/>
      <charset val="134"/>
    </font>
    <font>
      <sz val="10"/>
      <color indexed="8"/>
      <name val="Arial"/>
      <charset val="134"/>
    </font>
    <font>
      <b/>
      <sz val="16"/>
      <color theme="1"/>
      <name val="Times New Roman"/>
      <charset val="134"/>
    </font>
    <font>
      <sz val="11"/>
      <color theme="1"/>
      <name val="Times New Roman"/>
      <charset val="134"/>
    </font>
    <font>
      <b/>
      <sz val="28"/>
      <color indexed="8"/>
      <name val="Times New Roman"/>
      <charset val="134"/>
    </font>
    <font>
      <sz val="11"/>
      <color indexed="8"/>
      <name val="Arial"/>
      <charset val="134"/>
    </font>
    <font>
      <sz val="18"/>
      <color indexed="8"/>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000000"/>
      <name val="Calibri"/>
      <charset val="134"/>
      <scheme val="minor"/>
    </font>
    <font>
      <sz val="12"/>
      <name val=".VnTime"/>
      <charset val="134"/>
    </font>
    <font>
      <b/>
      <i/>
      <sz val="13"/>
      <name val="Times New Roman"/>
      <charset val="134"/>
    </font>
    <font>
      <b/>
      <sz val="12.6"/>
      <name val="Times New Roman"/>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dotted">
        <color auto="1"/>
      </bottom>
      <diagonal/>
    </border>
    <border>
      <left/>
      <right style="thin">
        <color auto="1"/>
      </right>
      <top style="thin">
        <color auto="1"/>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0" fillId="3" borderId="17"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18" applyNumberFormat="0" applyFill="0" applyAlignment="0" applyProtection="0">
      <alignment vertical="center"/>
    </xf>
    <xf numFmtId="0" fontId="42" fillId="0" borderId="18" applyNumberFormat="0" applyFill="0" applyAlignment="0" applyProtection="0">
      <alignment vertical="center"/>
    </xf>
    <xf numFmtId="0" fontId="43" fillId="0" borderId="19" applyNumberFormat="0" applyFill="0" applyAlignment="0" applyProtection="0">
      <alignment vertical="center"/>
    </xf>
    <xf numFmtId="0" fontId="43" fillId="0" borderId="0" applyNumberFormat="0" applyFill="0" applyBorder="0" applyAlignment="0" applyProtection="0">
      <alignment vertical="center"/>
    </xf>
    <xf numFmtId="0" fontId="44" fillId="4" borderId="20" applyNumberFormat="0" applyAlignment="0" applyProtection="0">
      <alignment vertical="center"/>
    </xf>
    <xf numFmtId="0" fontId="45" fillId="5" borderId="21" applyNumberFormat="0" applyAlignment="0" applyProtection="0">
      <alignment vertical="center"/>
    </xf>
    <xf numFmtId="0" fontId="46" fillId="5" borderId="20" applyNumberFormat="0" applyAlignment="0" applyProtection="0">
      <alignment vertical="center"/>
    </xf>
    <xf numFmtId="0" fontId="47" fillId="6" borderId="22" applyNumberFormat="0" applyAlignment="0" applyProtection="0">
      <alignment vertical="center"/>
    </xf>
    <xf numFmtId="0" fontId="48" fillId="0" borderId="23" applyNumberFormat="0" applyFill="0" applyAlignment="0" applyProtection="0">
      <alignment vertical="center"/>
    </xf>
    <xf numFmtId="0" fontId="49" fillId="0" borderId="24" applyNumberFormat="0" applyFill="0" applyAlignment="0" applyProtection="0">
      <alignment vertical="center"/>
    </xf>
    <xf numFmtId="0" fontId="50" fillId="7" borderId="0" applyNumberFormat="0" applyBorder="0" applyAlignment="0" applyProtection="0">
      <alignment vertical="center"/>
    </xf>
    <xf numFmtId="0" fontId="51" fillId="8" borderId="0" applyNumberFormat="0" applyBorder="0" applyAlignment="0" applyProtection="0">
      <alignment vertical="center"/>
    </xf>
    <xf numFmtId="0" fontId="52" fillId="9" borderId="0" applyNumberFormat="0" applyBorder="0" applyAlignment="0" applyProtection="0">
      <alignment vertical="center"/>
    </xf>
    <xf numFmtId="0" fontId="53" fillId="10" borderId="0" applyNumberFormat="0" applyBorder="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3" fillId="13" borderId="0" applyNumberFormat="0" applyBorder="0" applyAlignment="0" applyProtection="0">
      <alignment vertical="center"/>
    </xf>
    <xf numFmtId="0" fontId="53" fillId="14"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3" fillId="17" borderId="0" applyNumberFormat="0" applyBorder="0" applyAlignment="0" applyProtection="0">
      <alignment vertical="center"/>
    </xf>
    <xf numFmtId="0" fontId="53" fillId="18"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33" borderId="0" applyNumberFormat="0" applyBorder="0" applyAlignment="0" applyProtection="0">
      <alignment vertical="center"/>
    </xf>
    <xf numFmtId="0" fontId="55" fillId="0" borderId="0"/>
    <xf numFmtId="0" fontId="56" fillId="0" borderId="0"/>
    <xf numFmtId="0" fontId="55" fillId="0" borderId="0"/>
    <xf numFmtId="0" fontId="0" fillId="0" borderId="0"/>
    <xf numFmtId="0" fontId="7" fillId="0" borderId="0"/>
  </cellStyleXfs>
  <cellXfs count="133">
    <xf numFmtId="0" fontId="0" fillId="0" borderId="0" xfId="0"/>
    <xf numFmtId="0" fontId="1" fillId="2" borderId="0" xfId="0" applyFont="1" applyFill="1"/>
    <xf numFmtId="0" fontId="2" fillId="2" borderId="0" xfId="0" applyFont="1" applyFill="1"/>
    <xf numFmtId="0" fontId="3" fillId="2" borderId="0" xfId="0" applyFont="1" applyFill="1" applyAlignment="1">
      <alignment vertical="center"/>
    </xf>
    <xf numFmtId="0" fontId="4" fillId="2" borderId="0" xfId="0" applyFont="1" applyFill="1"/>
    <xf numFmtId="0" fontId="5" fillId="2" borderId="0" xfId="0" applyFont="1" applyFill="1"/>
    <xf numFmtId="0" fontId="6" fillId="2" borderId="0" xfId="0" applyFont="1" applyFill="1"/>
    <xf numFmtId="0" fontId="2" fillId="2" borderId="0" xfId="0" applyFont="1" applyFill="1" applyAlignment="1">
      <alignment horizontal="center" vertical="center"/>
    </xf>
    <xf numFmtId="0" fontId="7" fillId="2" borderId="0" xfId="49" applyFont="1" applyFill="1" applyAlignment="1">
      <alignment horizontal="center" vertical="center" wrapText="1"/>
    </xf>
    <xf numFmtId="0" fontId="8" fillId="2" borderId="0" xfId="49" applyFont="1" applyFill="1"/>
    <xf numFmtId="0" fontId="9" fillId="2" borderId="0" xfId="49" applyFont="1" applyFill="1" applyAlignment="1">
      <alignment horizontal="center"/>
    </xf>
    <xf numFmtId="0" fontId="9" fillId="2" borderId="0" xfId="49" applyFont="1" applyFill="1"/>
    <xf numFmtId="0" fontId="10" fillId="2" borderId="0" xfId="49" applyFont="1" applyFill="1" applyAlignment="1">
      <alignment horizontal="center" vertical="center"/>
    </xf>
    <xf numFmtId="0" fontId="8" fillId="2" borderId="0" xfId="49" applyFont="1" applyFill="1" applyAlignment="1">
      <alignment horizontal="center"/>
    </xf>
    <xf numFmtId="0" fontId="11" fillId="2" borderId="0" xfId="49" applyFont="1" applyFill="1"/>
    <xf numFmtId="0" fontId="8" fillId="2" borderId="0" xfId="49" applyFont="1" applyFill="1" applyAlignment="1">
      <alignment horizontal="center" vertical="center"/>
    </xf>
    <xf numFmtId="3" fontId="8" fillId="2" borderId="0" xfId="49" applyNumberFormat="1" applyFont="1" applyFill="1"/>
    <xf numFmtId="0" fontId="9" fillId="2" borderId="0" xfId="49" applyFont="1" applyFill="1" applyAlignment="1">
      <alignment horizontal="center" wrapText="1"/>
    </xf>
    <xf numFmtId="0" fontId="12" fillId="2" borderId="0" xfId="49" applyFont="1" applyFill="1" applyAlignment="1">
      <alignment horizontal="center" wrapText="1"/>
    </xf>
    <xf numFmtId="0" fontId="13" fillId="2" borderId="0" xfId="49" applyFont="1" applyFill="1" applyAlignment="1">
      <alignment horizontal="center" wrapText="1"/>
    </xf>
    <xf numFmtId="0" fontId="6" fillId="2" borderId="0" xfId="49" applyFont="1" applyFill="1" applyAlignment="1">
      <alignment horizontal="center" wrapText="1"/>
    </xf>
    <xf numFmtId="0" fontId="14" fillId="2" borderId="0" xfId="49" applyFont="1" applyFill="1"/>
    <xf numFmtId="0" fontId="15" fillId="2" borderId="1" xfId="49" applyFont="1" applyFill="1" applyBorder="1" applyAlignment="1">
      <alignment horizontal="center" vertical="center"/>
    </xf>
    <xf numFmtId="0" fontId="15" fillId="2" borderId="2" xfId="49" applyFont="1" applyFill="1" applyBorder="1" applyAlignment="1">
      <alignment horizontal="center" vertical="center" wrapText="1"/>
    </xf>
    <xf numFmtId="0" fontId="15" fillId="2" borderId="1" xfId="49" applyFont="1" applyFill="1" applyBorder="1" applyAlignment="1">
      <alignment horizontal="center" textRotation="90" wrapText="1"/>
    </xf>
    <xf numFmtId="0" fontId="15" fillId="2" borderId="2" xfId="49" applyFont="1" applyFill="1" applyBorder="1" applyAlignment="1">
      <alignment horizontal="center" textRotation="90" wrapText="1"/>
    </xf>
    <xf numFmtId="0" fontId="5" fillId="2" borderId="2" xfId="49" applyFont="1" applyFill="1" applyBorder="1" applyAlignment="1">
      <alignment horizontal="center" vertical="center" wrapText="1"/>
    </xf>
    <xf numFmtId="0" fontId="15" fillId="2" borderId="3" xfId="49" applyFont="1" applyFill="1" applyBorder="1" applyAlignment="1">
      <alignment horizontal="center" vertical="center" wrapText="1"/>
    </xf>
    <xf numFmtId="0" fontId="15" fillId="2" borderId="1" xfId="49" applyFont="1" applyFill="1" applyBorder="1" applyAlignment="1">
      <alignment horizontal="center" textRotation="90"/>
    </xf>
    <xf numFmtId="0" fontId="15" fillId="2" borderId="4" xfId="49" applyFont="1" applyFill="1" applyBorder="1" applyAlignment="1">
      <alignment horizontal="center" textRotation="90" wrapText="1"/>
    </xf>
    <xf numFmtId="0" fontId="4" fillId="2" borderId="3" xfId="49" applyFont="1" applyFill="1" applyBorder="1" applyAlignment="1">
      <alignment horizontal="center"/>
    </xf>
    <xf numFmtId="0" fontId="15" fillId="2" borderId="2" xfId="49" applyFont="1" applyFill="1" applyBorder="1" applyAlignment="1">
      <alignment horizontal="center" vertical="center"/>
    </xf>
    <xf numFmtId="3" fontId="15" fillId="2" borderId="2" xfId="49" applyNumberFormat="1" applyFont="1" applyFill="1" applyBorder="1" applyAlignment="1">
      <alignment horizontal="center" textRotation="90"/>
    </xf>
    <xf numFmtId="3" fontId="5" fillId="2" borderId="2" xfId="49" applyNumberFormat="1" applyFont="1" applyFill="1" applyBorder="1" applyAlignment="1">
      <alignment horizontal="center" textRotation="90" wrapText="1"/>
    </xf>
    <xf numFmtId="0" fontId="4" fillId="2" borderId="4" xfId="49" applyFont="1" applyFill="1" applyBorder="1" applyAlignment="1">
      <alignment horizontal="center"/>
    </xf>
    <xf numFmtId="1" fontId="16" fillId="2" borderId="1" xfId="0" applyNumberFormat="1" applyFont="1" applyFill="1" applyBorder="1" applyAlignment="1">
      <alignment horizontal="center" vertical="center" wrapText="1"/>
    </xf>
    <xf numFmtId="49" fontId="16" fillId="2" borderId="1" xfId="0" applyNumberFormat="1" applyFont="1" applyFill="1" applyBorder="1" applyAlignment="1">
      <alignment horizontal="center" vertical="center" wrapText="1"/>
    </xf>
    <xf numFmtId="1" fontId="4" fillId="2" borderId="1" xfId="49" applyNumberFormat="1" applyFont="1" applyFill="1" applyBorder="1" applyAlignment="1">
      <alignment horizontal="center" vertical="center"/>
    </xf>
    <xf numFmtId="3" fontId="4" fillId="2" borderId="1" xfId="49" applyNumberFormat="1" applyFont="1" applyFill="1" applyBorder="1" applyAlignment="1">
      <alignment horizontal="center" vertical="center"/>
    </xf>
    <xf numFmtId="0" fontId="5" fillId="2" borderId="5" xfId="49" applyFont="1" applyFill="1" applyBorder="1" applyAlignment="1">
      <alignment horizontal="center" vertical="center"/>
    </xf>
    <xf numFmtId="0" fontId="5" fillId="2" borderId="6" xfId="49" applyFont="1" applyFill="1" applyBorder="1" applyAlignment="1">
      <alignment horizontal="center" vertical="center"/>
    </xf>
    <xf numFmtId="1" fontId="5" fillId="2" borderId="1" xfId="49" applyNumberFormat="1" applyFont="1" applyFill="1" applyBorder="1" applyAlignment="1">
      <alignment horizontal="center" vertical="center"/>
    </xf>
    <xf numFmtId="3" fontId="5" fillId="2" borderId="1" xfId="49" applyNumberFormat="1" applyFont="1" applyFill="1" applyBorder="1" applyAlignment="1">
      <alignment horizontal="center" vertical="center"/>
    </xf>
    <xf numFmtId="0" fontId="17" fillId="2" borderId="0" xfId="49" applyFont="1" applyFill="1" applyAlignment="1">
      <alignment vertical="center"/>
    </xf>
    <xf numFmtId="0" fontId="4" fillId="2" borderId="0" xfId="0" applyFont="1" applyFill="1" applyAlignment="1">
      <alignment horizontal="center" vertical="center"/>
    </xf>
    <xf numFmtId="0" fontId="4" fillId="2" borderId="0" xfId="0" applyFont="1" applyFill="1"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49" fontId="18" fillId="0" borderId="1" xfId="0" applyNumberFormat="1" applyFont="1" applyFill="1" applyBorder="1" applyAlignment="1">
      <alignment horizontal="center" vertical="center" wrapText="1"/>
    </xf>
    <xf numFmtId="49" fontId="18" fillId="0" borderId="2" xfId="0" applyNumberFormat="1" applyFont="1" applyFill="1" applyBorder="1" applyAlignment="1">
      <alignment horizontal="center" vertical="center" wrapText="1"/>
    </xf>
    <xf numFmtId="0" fontId="19" fillId="0" borderId="1" xfId="0" applyFont="1" applyFill="1" applyBorder="1" applyAlignment="1"/>
    <xf numFmtId="0" fontId="20" fillId="0" borderId="1" xfId="0" applyFont="1" applyFill="1" applyBorder="1" applyAlignment="1">
      <alignment horizontal="center" vertical="center"/>
    </xf>
    <xf numFmtId="49" fontId="18" fillId="0" borderId="1" xfId="0" applyNumberFormat="1" applyFont="1" applyFill="1" applyBorder="1" applyAlignment="1">
      <alignment horizontal="center" vertical="center" wrapText="1"/>
    </xf>
    <xf numFmtId="49" fontId="18" fillId="0" borderId="1" xfId="0" applyNumberFormat="1" applyFont="1" applyFill="1" applyBorder="1" applyAlignment="1">
      <alignment vertical="center" wrapText="1"/>
    </xf>
    <xf numFmtId="49" fontId="18" fillId="0" borderId="4" xfId="0" applyNumberFormat="1" applyFont="1" applyFill="1" applyBorder="1" applyAlignment="1">
      <alignment horizontal="center" vertical="center" wrapText="1"/>
    </xf>
    <xf numFmtId="1" fontId="16" fillId="0" borderId="1" xfId="0" applyNumberFormat="1" applyFont="1" applyFill="1" applyBorder="1" applyAlignment="1">
      <alignment horizontal="center" vertical="center" wrapText="1"/>
    </xf>
    <xf numFmtId="49" fontId="16" fillId="0" borderId="1" xfId="0" applyNumberFormat="1" applyFont="1" applyFill="1" applyBorder="1" applyAlignment="1">
      <alignment horizontal="center" vertical="center" wrapText="1"/>
    </xf>
    <xf numFmtId="3" fontId="16" fillId="0" borderId="1" xfId="0" applyNumberFormat="1" applyFont="1" applyFill="1" applyBorder="1" applyAlignment="1">
      <alignment horizontal="center" vertical="center" wrapText="1"/>
    </xf>
    <xf numFmtId="4" fontId="16" fillId="0" borderId="1" xfId="0" applyNumberFormat="1" applyFont="1" applyFill="1" applyBorder="1" applyAlignment="1">
      <alignment horizontal="center" vertical="center" wrapText="1"/>
    </xf>
    <xf numFmtId="49" fontId="16" fillId="0" borderId="1" xfId="0" applyNumberFormat="1" applyFont="1" applyFill="1" applyBorder="1" applyAlignment="1">
      <alignment vertical="top" wrapText="1"/>
    </xf>
    <xf numFmtId="49" fontId="16" fillId="0" borderId="1" xfId="0" applyNumberFormat="1" applyFont="1" applyFill="1" applyBorder="1" applyAlignment="1">
      <alignment horizontal="center" vertical="center" wrapText="1"/>
    </xf>
    <xf numFmtId="0" fontId="19" fillId="0" borderId="1" xfId="0" applyFont="1" applyFill="1" applyBorder="1" applyAlignment="1">
      <alignment horizontal="center" vertical="center"/>
    </xf>
    <xf numFmtId="0" fontId="21" fillId="2" borderId="0" xfId="0" applyFont="1" applyFill="1"/>
    <xf numFmtId="0" fontId="22" fillId="2" borderId="0" xfId="0" applyFont="1" applyFill="1"/>
    <xf numFmtId="0" fontId="23" fillId="2" borderId="0" xfId="0" applyFont="1" applyFill="1" applyAlignment="1">
      <alignment horizontal="center" vertical="center" wrapText="1"/>
    </xf>
    <xf numFmtId="0" fontId="24" fillId="2" borderId="0" xfId="0" applyFont="1" applyFill="1" applyAlignment="1">
      <alignment horizontal="center" vertical="center" wrapText="1"/>
    </xf>
    <xf numFmtId="0" fontId="25" fillId="2" borderId="0" xfId="0" applyFont="1" applyFill="1" applyAlignment="1">
      <alignment horizontal="center" vertical="center" wrapText="1"/>
    </xf>
    <xf numFmtId="0" fontId="23" fillId="2" borderId="0" xfId="0" applyFont="1" applyFill="1" applyAlignment="1">
      <alignment vertical="center" wrapText="1"/>
    </xf>
    <xf numFmtId="0" fontId="12" fillId="2" borderId="0" xfId="0" applyFont="1" applyFill="1" applyAlignment="1">
      <alignment horizontal="center" vertical="center" wrapText="1"/>
    </xf>
    <xf numFmtId="0" fontId="23" fillId="2" borderId="0" xfId="0" applyFont="1" applyFill="1" applyAlignment="1">
      <alignment horizontal="left" vertical="center" wrapText="1"/>
    </xf>
    <xf numFmtId="0" fontId="24" fillId="2" borderId="0" xfId="0" applyFont="1" applyFill="1" applyAlignment="1">
      <alignment horizontal="center" vertical="center"/>
    </xf>
    <xf numFmtId="0" fontId="24" fillId="2" borderId="0" xfId="0" applyFont="1" applyFill="1" applyAlignment="1">
      <alignment vertical="center"/>
    </xf>
    <xf numFmtId="0" fontId="24" fillId="2" borderId="0" xfId="0" applyFont="1" applyFill="1" applyAlignment="1">
      <alignment horizontal="left" vertical="center" wrapText="1"/>
    </xf>
    <xf numFmtId="0" fontId="23" fillId="2" borderId="0" xfId="0" applyFont="1" applyFill="1"/>
    <xf numFmtId="0" fontId="23" fillId="2" borderId="0" xfId="0" applyFont="1" applyFill="1" applyAlignment="1">
      <alignment vertical="center"/>
    </xf>
    <xf numFmtId="0" fontId="23" fillId="2" borderId="0" xfId="0" applyFont="1" applyFill="1" applyAlignment="1">
      <alignment horizontal="left"/>
    </xf>
    <xf numFmtId="0" fontId="26" fillId="2" borderId="0" xfId="0" applyFont="1" applyFill="1" applyAlignment="1">
      <alignment horizontal="left"/>
    </xf>
    <xf numFmtId="0" fontId="26" fillId="2" borderId="0" xfId="0" applyFont="1" applyFill="1" applyAlignment="1">
      <alignment horizontal="left" vertical="center" wrapText="1"/>
    </xf>
    <xf numFmtId="2" fontId="23" fillId="2" borderId="0" xfId="3" applyNumberFormat="1" applyFont="1" applyFill="1" applyAlignment="1"/>
    <xf numFmtId="10" fontId="23" fillId="2" borderId="0" xfId="3" applyNumberFormat="1" applyFont="1" applyFill="1" applyAlignment="1"/>
    <xf numFmtId="1" fontId="23" fillId="2" borderId="0" xfId="3" applyNumberFormat="1" applyFont="1" applyFill="1" applyAlignment="1"/>
    <xf numFmtId="9" fontId="23" fillId="2" borderId="0" xfId="3" applyFont="1" applyFill="1" applyAlignment="1"/>
    <xf numFmtId="0" fontId="27" fillId="2" borderId="0" xfId="0" applyFont="1" applyFill="1" applyAlignment="1">
      <alignment vertical="center"/>
    </xf>
    <xf numFmtId="0" fontId="28" fillId="2" borderId="0" xfId="0" applyFont="1" applyFill="1"/>
    <xf numFmtId="0" fontId="27" fillId="2" borderId="0" xfId="0" applyFont="1" applyFill="1" applyAlignment="1">
      <alignment horizontal="left" vertical="center" indent="2"/>
    </xf>
    <xf numFmtId="0" fontId="24" fillId="2" borderId="1"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23" fillId="2" borderId="7" xfId="0" applyFont="1" applyFill="1" applyBorder="1" applyAlignment="1">
      <alignment horizontal="center" vertical="center" wrapText="1"/>
    </xf>
    <xf numFmtId="10" fontId="24" fillId="2" borderId="4" xfId="3" applyNumberFormat="1" applyFont="1" applyFill="1" applyBorder="1" applyAlignment="1">
      <alignment horizontal="center" vertical="center" wrapText="1"/>
    </xf>
    <xf numFmtId="10" fontId="23" fillId="2" borderId="4" xfId="3" applyNumberFormat="1" applyFont="1" applyFill="1" applyBorder="1" applyAlignment="1">
      <alignment horizontal="center" vertical="center" wrapText="1"/>
    </xf>
    <xf numFmtId="9" fontId="24" fillId="2" borderId="4" xfId="0" applyNumberFormat="1" applyFont="1" applyFill="1" applyBorder="1" applyAlignment="1">
      <alignment horizontal="center" vertical="center" wrapText="1"/>
    </xf>
    <xf numFmtId="0" fontId="26" fillId="2" borderId="0" xfId="0" applyFont="1" applyFill="1" applyAlignment="1">
      <alignment vertical="center"/>
    </xf>
    <xf numFmtId="0" fontId="29" fillId="2" borderId="0" xfId="0" applyFont="1" applyFill="1" applyAlignment="1">
      <alignment horizontal="left" vertical="center" wrapText="1"/>
    </xf>
    <xf numFmtId="0" fontId="24" fillId="2" borderId="0" xfId="0" applyFont="1" applyFill="1" applyAlignment="1">
      <alignment horizontal="left" vertical="center" indent="2"/>
    </xf>
    <xf numFmtId="0" fontId="24" fillId="2" borderId="5"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3" fillId="2" borderId="1" xfId="0" applyFont="1" applyFill="1" applyBorder="1" applyAlignment="1">
      <alignment horizontal="center" vertical="center" wrapText="1"/>
    </xf>
    <xf numFmtId="178" fontId="23" fillId="2" borderId="1" xfId="0" applyNumberFormat="1" applyFont="1" applyFill="1" applyBorder="1" applyAlignment="1">
      <alignment horizontal="center" vertical="center" wrapText="1"/>
    </xf>
    <xf numFmtId="10" fontId="23" fillId="2" borderId="1" xfId="3" applyNumberFormat="1" applyFont="1" applyFill="1" applyBorder="1" applyAlignment="1">
      <alignment horizontal="center" vertical="center" wrapText="1"/>
    </xf>
    <xf numFmtId="0" fontId="24" fillId="2" borderId="0" xfId="0" applyFont="1" applyFill="1" applyAlignment="1">
      <alignment horizontal="left" vertical="center" indent="5"/>
    </xf>
    <xf numFmtId="49" fontId="23" fillId="2" borderId="0" xfId="0" applyNumberFormat="1" applyFont="1" applyFill="1" applyAlignment="1">
      <alignment horizontal="left" vertical="center" wrapText="1"/>
    </xf>
    <xf numFmtId="10" fontId="23" fillId="2" borderId="0" xfId="3" applyNumberFormat="1" applyFont="1" applyFill="1" applyBorder="1" applyAlignment="1">
      <alignment horizontal="center" vertical="center" wrapText="1"/>
    </xf>
    <xf numFmtId="0" fontId="0" fillId="0" borderId="0" xfId="0" applyAlignment="1">
      <alignment vertical="top"/>
    </xf>
    <xf numFmtId="0" fontId="30" fillId="0" borderId="9" xfId="0" applyFont="1"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12" xfId="0" applyBorder="1" applyAlignment="1">
      <alignment vertical="top"/>
    </xf>
    <xf numFmtId="0" fontId="0" fillId="0" borderId="13" xfId="0" applyBorder="1" applyAlignment="1">
      <alignment vertical="top"/>
    </xf>
    <xf numFmtId="0" fontId="31" fillId="0" borderId="0" xfId="0" applyFont="1" applyAlignment="1">
      <alignment horizontal="center" vertical="top"/>
    </xf>
    <xf numFmtId="0" fontId="31" fillId="0" borderId="13" xfId="0" applyFont="1" applyBorder="1" applyAlignment="1">
      <alignment horizontal="center" vertical="top"/>
    </xf>
    <xf numFmtId="0" fontId="32" fillId="0" borderId="0" xfId="0" applyFont="1" applyAlignment="1">
      <alignment horizontal="left" vertical="top" wrapText="1"/>
    </xf>
    <xf numFmtId="0" fontId="32" fillId="0" borderId="13" xfId="0" applyFont="1" applyBorder="1" applyAlignment="1">
      <alignment horizontal="left" vertical="top" wrapText="1"/>
    </xf>
    <xf numFmtId="0" fontId="32" fillId="0" borderId="0" xfId="0" applyFont="1" applyAlignment="1">
      <alignment vertical="top"/>
    </xf>
    <xf numFmtId="0" fontId="32" fillId="0" borderId="13" xfId="0" applyFont="1" applyBorder="1" applyAlignment="1">
      <alignment vertical="top"/>
    </xf>
    <xf numFmtId="0" fontId="33" fillId="0" borderId="12" xfId="0" applyFont="1" applyBorder="1" applyAlignment="1">
      <alignment horizontal="center" vertical="center"/>
    </xf>
    <xf numFmtId="0" fontId="33" fillId="0" borderId="0" xfId="0" applyFont="1" applyAlignment="1">
      <alignment horizontal="center" vertical="center"/>
    </xf>
    <xf numFmtId="0" fontId="33" fillId="0" borderId="13" xfId="0" applyFont="1" applyBorder="1" applyAlignment="1">
      <alignment horizontal="center" vertical="center"/>
    </xf>
    <xf numFmtId="0" fontId="34" fillId="0" borderId="0" xfId="0" applyFont="1" applyAlignment="1">
      <alignment vertical="top"/>
    </xf>
    <xf numFmtId="0" fontId="33" fillId="0" borderId="12" xfId="0" applyFont="1" applyBorder="1" applyAlignment="1">
      <alignment horizontal="center" vertical="center" wrapText="1"/>
    </xf>
    <xf numFmtId="0" fontId="33" fillId="0" borderId="0" xfId="0" applyFont="1" applyAlignment="1">
      <alignment horizontal="center" vertical="center" wrapText="1"/>
    </xf>
    <xf numFmtId="0" fontId="33" fillId="0" borderId="13" xfId="0" applyFont="1" applyBorder="1" applyAlignment="1">
      <alignment horizontal="center" vertical="center" wrapText="1"/>
    </xf>
    <xf numFmtId="0" fontId="30" fillId="0" borderId="0" xfId="0" applyFont="1" applyAlignment="1">
      <alignment vertical="top"/>
    </xf>
    <xf numFmtId="0" fontId="0" fillId="0" borderId="0" xfId="0" applyAlignment="1">
      <alignment horizontal="center" vertical="top"/>
    </xf>
    <xf numFmtId="0" fontId="35" fillId="0" borderId="12" xfId="0" applyFont="1" applyBorder="1" applyAlignment="1">
      <alignment horizontal="center" vertical="top"/>
    </xf>
    <xf numFmtId="0" fontId="35" fillId="0" borderId="0" xfId="0" applyFont="1" applyAlignment="1">
      <alignment horizontal="center" vertical="top"/>
    </xf>
    <xf numFmtId="0" fontId="35" fillId="0" borderId="13" xfId="0" applyFont="1" applyBorder="1" applyAlignment="1">
      <alignment horizontal="center" vertical="top"/>
    </xf>
    <xf numFmtId="0" fontId="0" fillId="0" borderId="12" xfId="0" applyBorder="1" applyAlignment="1">
      <alignment horizontal="center" vertical="top"/>
    </xf>
    <xf numFmtId="0" fontId="0" fillId="0" borderId="13" xfId="0" applyBorder="1" applyAlignment="1">
      <alignment horizontal="center" vertical="top"/>
    </xf>
    <xf numFmtId="0" fontId="35" fillId="0" borderId="14" xfId="0" applyFont="1" applyBorder="1" applyAlignment="1">
      <alignment horizontal="center" vertical="center"/>
    </xf>
    <xf numFmtId="0" fontId="0" fillId="0" borderId="15" xfId="0" applyBorder="1" applyAlignment="1">
      <alignment vertical="center"/>
    </xf>
    <xf numFmtId="0" fontId="0" fillId="0" borderId="16" xfId="0" applyBorder="1" applyAlignment="1">
      <alignment vertical="center"/>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2 3" xfId="50"/>
    <cellStyle name="Normal 3" xfId="51"/>
    <cellStyle name="Normal 6" xfId="52"/>
    <cellStyle name="Normal_Sheet1_1" xfId="5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314326</xdr:colOff>
      <xdr:row>1</xdr:row>
      <xdr:rowOff>19051</xdr:rowOff>
    </xdr:from>
    <xdr:to>
      <xdr:col>2</xdr:col>
      <xdr:colOff>238125</xdr:colOff>
      <xdr:row>6</xdr:row>
      <xdr:rowOff>142875</xdr:rowOff>
    </xdr:to>
    <xdr:pic>
      <xdr:nvPicPr>
        <xdr:cNvPr id="4" name="Picture 3"/>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314325" y="219075"/>
          <a:ext cx="1143000" cy="11430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6"/>
  <sheetViews>
    <sheetView workbookViewId="0">
      <selection activeCell="A11" sqref="A11:O11"/>
    </sheetView>
  </sheetViews>
  <sheetFormatPr defaultColWidth="9" defaultRowHeight="15"/>
  <cols>
    <col min="1" max="10" width="9.14285714285714" style="104"/>
    <col min="11" max="11" width="6.42857142857143" style="104" customWidth="1"/>
    <col min="12" max="13" width="8.42857142857143" style="104" customWidth="1"/>
    <col min="14" max="14" width="16.5714285714286" style="104" customWidth="1"/>
    <col min="15" max="15" width="6.14285714285714" style="104" customWidth="1"/>
    <col min="16" max="268" width="9.14285714285714" style="104"/>
    <col min="269" max="269" width="6.42857142857143" style="104" customWidth="1"/>
    <col min="270" max="270" width="8.42857142857143" style="104" customWidth="1"/>
    <col min="271" max="271" width="25.4285714285714" style="104" customWidth="1"/>
    <col min="272" max="524" width="9.14285714285714" style="104"/>
    <col min="525" max="525" width="6.42857142857143" style="104" customWidth="1"/>
    <col min="526" max="526" width="8.42857142857143" style="104" customWidth="1"/>
    <col min="527" max="527" width="25.4285714285714" style="104" customWidth="1"/>
    <col min="528" max="780" width="9.14285714285714" style="104"/>
    <col min="781" max="781" width="6.42857142857143" style="104" customWidth="1"/>
    <col min="782" max="782" width="8.42857142857143" style="104" customWidth="1"/>
    <col min="783" max="783" width="25.4285714285714" style="104" customWidth="1"/>
    <col min="784" max="1036" width="9.14285714285714" style="104"/>
    <col min="1037" max="1037" width="6.42857142857143" style="104" customWidth="1"/>
    <col min="1038" max="1038" width="8.42857142857143" style="104" customWidth="1"/>
    <col min="1039" max="1039" width="25.4285714285714" style="104" customWidth="1"/>
    <col min="1040" max="1292" width="9.14285714285714" style="104"/>
    <col min="1293" max="1293" width="6.42857142857143" style="104" customWidth="1"/>
    <col min="1294" max="1294" width="8.42857142857143" style="104" customWidth="1"/>
    <col min="1295" max="1295" width="25.4285714285714" style="104" customWidth="1"/>
    <col min="1296" max="1548" width="9.14285714285714" style="104"/>
    <col min="1549" max="1549" width="6.42857142857143" style="104" customWidth="1"/>
    <col min="1550" max="1550" width="8.42857142857143" style="104" customWidth="1"/>
    <col min="1551" max="1551" width="25.4285714285714" style="104" customWidth="1"/>
    <col min="1552" max="1804" width="9.14285714285714" style="104"/>
    <col min="1805" max="1805" width="6.42857142857143" style="104" customWidth="1"/>
    <col min="1806" max="1806" width="8.42857142857143" style="104" customWidth="1"/>
    <col min="1807" max="1807" width="25.4285714285714" style="104" customWidth="1"/>
    <col min="1808" max="2060" width="9.14285714285714" style="104"/>
    <col min="2061" max="2061" width="6.42857142857143" style="104" customWidth="1"/>
    <col min="2062" max="2062" width="8.42857142857143" style="104" customWidth="1"/>
    <col min="2063" max="2063" width="25.4285714285714" style="104" customWidth="1"/>
    <col min="2064" max="2316" width="9.14285714285714" style="104"/>
    <col min="2317" max="2317" width="6.42857142857143" style="104" customWidth="1"/>
    <col min="2318" max="2318" width="8.42857142857143" style="104" customWidth="1"/>
    <col min="2319" max="2319" width="25.4285714285714" style="104" customWidth="1"/>
    <col min="2320" max="2572" width="9.14285714285714" style="104"/>
    <col min="2573" max="2573" width="6.42857142857143" style="104" customWidth="1"/>
    <col min="2574" max="2574" width="8.42857142857143" style="104" customWidth="1"/>
    <col min="2575" max="2575" width="25.4285714285714" style="104" customWidth="1"/>
    <col min="2576" max="2828" width="9.14285714285714" style="104"/>
    <col min="2829" max="2829" width="6.42857142857143" style="104" customWidth="1"/>
    <col min="2830" max="2830" width="8.42857142857143" style="104" customWidth="1"/>
    <col min="2831" max="2831" width="25.4285714285714" style="104" customWidth="1"/>
    <col min="2832" max="3084" width="9.14285714285714" style="104"/>
    <col min="3085" max="3085" width="6.42857142857143" style="104" customWidth="1"/>
    <col min="3086" max="3086" width="8.42857142857143" style="104" customWidth="1"/>
    <col min="3087" max="3087" width="25.4285714285714" style="104" customWidth="1"/>
    <col min="3088" max="3340" width="9.14285714285714" style="104"/>
    <col min="3341" max="3341" width="6.42857142857143" style="104" customWidth="1"/>
    <col min="3342" max="3342" width="8.42857142857143" style="104" customWidth="1"/>
    <col min="3343" max="3343" width="25.4285714285714" style="104" customWidth="1"/>
    <col min="3344" max="3596" width="9.14285714285714" style="104"/>
    <col min="3597" max="3597" width="6.42857142857143" style="104" customWidth="1"/>
    <col min="3598" max="3598" width="8.42857142857143" style="104" customWidth="1"/>
    <col min="3599" max="3599" width="25.4285714285714" style="104" customWidth="1"/>
    <col min="3600" max="3852" width="9.14285714285714" style="104"/>
    <col min="3853" max="3853" width="6.42857142857143" style="104" customWidth="1"/>
    <col min="3854" max="3854" width="8.42857142857143" style="104" customWidth="1"/>
    <col min="3855" max="3855" width="25.4285714285714" style="104" customWidth="1"/>
    <col min="3856" max="4108" width="9.14285714285714" style="104"/>
    <col min="4109" max="4109" width="6.42857142857143" style="104" customWidth="1"/>
    <col min="4110" max="4110" width="8.42857142857143" style="104" customWidth="1"/>
    <col min="4111" max="4111" width="25.4285714285714" style="104" customWidth="1"/>
    <col min="4112" max="4364" width="9.14285714285714" style="104"/>
    <col min="4365" max="4365" width="6.42857142857143" style="104" customWidth="1"/>
    <col min="4366" max="4366" width="8.42857142857143" style="104" customWidth="1"/>
    <col min="4367" max="4367" width="25.4285714285714" style="104" customWidth="1"/>
    <col min="4368" max="4620" width="9.14285714285714" style="104"/>
    <col min="4621" max="4621" width="6.42857142857143" style="104" customWidth="1"/>
    <col min="4622" max="4622" width="8.42857142857143" style="104" customWidth="1"/>
    <col min="4623" max="4623" width="25.4285714285714" style="104" customWidth="1"/>
    <col min="4624" max="4876" width="9.14285714285714" style="104"/>
    <col min="4877" max="4877" width="6.42857142857143" style="104" customWidth="1"/>
    <col min="4878" max="4878" width="8.42857142857143" style="104" customWidth="1"/>
    <col min="4879" max="4879" width="25.4285714285714" style="104" customWidth="1"/>
    <col min="4880" max="5132" width="9.14285714285714" style="104"/>
    <col min="5133" max="5133" width="6.42857142857143" style="104" customWidth="1"/>
    <col min="5134" max="5134" width="8.42857142857143" style="104" customWidth="1"/>
    <col min="5135" max="5135" width="25.4285714285714" style="104" customWidth="1"/>
    <col min="5136" max="5388" width="9.14285714285714" style="104"/>
    <col min="5389" max="5389" width="6.42857142857143" style="104" customWidth="1"/>
    <col min="5390" max="5390" width="8.42857142857143" style="104" customWidth="1"/>
    <col min="5391" max="5391" width="25.4285714285714" style="104" customWidth="1"/>
    <col min="5392" max="5644" width="9.14285714285714" style="104"/>
    <col min="5645" max="5645" width="6.42857142857143" style="104" customWidth="1"/>
    <col min="5646" max="5646" width="8.42857142857143" style="104" customWidth="1"/>
    <col min="5647" max="5647" width="25.4285714285714" style="104" customWidth="1"/>
    <col min="5648" max="5900" width="9.14285714285714" style="104"/>
    <col min="5901" max="5901" width="6.42857142857143" style="104" customWidth="1"/>
    <col min="5902" max="5902" width="8.42857142857143" style="104" customWidth="1"/>
    <col min="5903" max="5903" width="25.4285714285714" style="104" customWidth="1"/>
    <col min="5904" max="6156" width="9.14285714285714" style="104"/>
    <col min="6157" max="6157" width="6.42857142857143" style="104" customWidth="1"/>
    <col min="6158" max="6158" width="8.42857142857143" style="104" customWidth="1"/>
    <col min="6159" max="6159" width="25.4285714285714" style="104" customWidth="1"/>
    <col min="6160" max="6412" width="9.14285714285714" style="104"/>
    <col min="6413" max="6413" width="6.42857142857143" style="104" customWidth="1"/>
    <col min="6414" max="6414" width="8.42857142857143" style="104" customWidth="1"/>
    <col min="6415" max="6415" width="25.4285714285714" style="104" customWidth="1"/>
    <col min="6416" max="6668" width="9.14285714285714" style="104"/>
    <col min="6669" max="6669" width="6.42857142857143" style="104" customWidth="1"/>
    <col min="6670" max="6670" width="8.42857142857143" style="104" customWidth="1"/>
    <col min="6671" max="6671" width="25.4285714285714" style="104" customWidth="1"/>
    <col min="6672" max="6924" width="9.14285714285714" style="104"/>
    <col min="6925" max="6925" width="6.42857142857143" style="104" customWidth="1"/>
    <col min="6926" max="6926" width="8.42857142857143" style="104" customWidth="1"/>
    <col min="6927" max="6927" width="25.4285714285714" style="104" customWidth="1"/>
    <col min="6928" max="7180" width="9.14285714285714" style="104"/>
    <col min="7181" max="7181" width="6.42857142857143" style="104" customWidth="1"/>
    <col min="7182" max="7182" width="8.42857142857143" style="104" customWidth="1"/>
    <col min="7183" max="7183" width="25.4285714285714" style="104" customWidth="1"/>
    <col min="7184" max="7436" width="9.14285714285714" style="104"/>
    <col min="7437" max="7437" width="6.42857142857143" style="104" customWidth="1"/>
    <col min="7438" max="7438" width="8.42857142857143" style="104" customWidth="1"/>
    <col min="7439" max="7439" width="25.4285714285714" style="104" customWidth="1"/>
    <col min="7440" max="7692" width="9.14285714285714" style="104"/>
    <col min="7693" max="7693" width="6.42857142857143" style="104" customWidth="1"/>
    <col min="7694" max="7694" width="8.42857142857143" style="104" customWidth="1"/>
    <col min="7695" max="7695" width="25.4285714285714" style="104" customWidth="1"/>
    <col min="7696" max="7948" width="9.14285714285714" style="104"/>
    <col min="7949" max="7949" width="6.42857142857143" style="104" customWidth="1"/>
    <col min="7950" max="7950" width="8.42857142857143" style="104" customWidth="1"/>
    <col min="7951" max="7951" width="25.4285714285714" style="104" customWidth="1"/>
    <col min="7952" max="8204" width="9.14285714285714" style="104"/>
    <col min="8205" max="8205" width="6.42857142857143" style="104" customWidth="1"/>
    <col min="8206" max="8206" width="8.42857142857143" style="104" customWidth="1"/>
    <col min="8207" max="8207" width="25.4285714285714" style="104" customWidth="1"/>
    <col min="8208" max="8460" width="9.14285714285714" style="104"/>
    <col min="8461" max="8461" width="6.42857142857143" style="104" customWidth="1"/>
    <col min="8462" max="8462" width="8.42857142857143" style="104" customWidth="1"/>
    <col min="8463" max="8463" width="25.4285714285714" style="104" customWidth="1"/>
    <col min="8464" max="8716" width="9.14285714285714" style="104"/>
    <col min="8717" max="8717" width="6.42857142857143" style="104" customWidth="1"/>
    <col min="8718" max="8718" width="8.42857142857143" style="104" customWidth="1"/>
    <col min="8719" max="8719" width="25.4285714285714" style="104" customWidth="1"/>
    <col min="8720" max="8972" width="9.14285714285714" style="104"/>
    <col min="8973" max="8973" width="6.42857142857143" style="104" customWidth="1"/>
    <col min="8974" max="8974" width="8.42857142857143" style="104" customWidth="1"/>
    <col min="8975" max="8975" width="25.4285714285714" style="104" customWidth="1"/>
    <col min="8976" max="9228" width="9.14285714285714" style="104"/>
    <col min="9229" max="9229" width="6.42857142857143" style="104" customWidth="1"/>
    <col min="9230" max="9230" width="8.42857142857143" style="104" customWidth="1"/>
    <col min="9231" max="9231" width="25.4285714285714" style="104" customWidth="1"/>
    <col min="9232" max="9484" width="9.14285714285714" style="104"/>
    <col min="9485" max="9485" width="6.42857142857143" style="104" customWidth="1"/>
    <col min="9486" max="9486" width="8.42857142857143" style="104" customWidth="1"/>
    <col min="9487" max="9487" width="25.4285714285714" style="104" customWidth="1"/>
    <col min="9488" max="9740" width="9.14285714285714" style="104"/>
    <col min="9741" max="9741" width="6.42857142857143" style="104" customWidth="1"/>
    <col min="9742" max="9742" width="8.42857142857143" style="104" customWidth="1"/>
    <col min="9743" max="9743" width="25.4285714285714" style="104" customWidth="1"/>
    <col min="9744" max="9996" width="9.14285714285714" style="104"/>
    <col min="9997" max="9997" width="6.42857142857143" style="104" customWidth="1"/>
    <col min="9998" max="9998" width="8.42857142857143" style="104" customWidth="1"/>
    <col min="9999" max="9999" width="25.4285714285714" style="104" customWidth="1"/>
    <col min="10000" max="10252" width="9.14285714285714" style="104"/>
    <col min="10253" max="10253" width="6.42857142857143" style="104" customWidth="1"/>
    <col min="10254" max="10254" width="8.42857142857143" style="104" customWidth="1"/>
    <col min="10255" max="10255" width="25.4285714285714" style="104" customWidth="1"/>
    <col min="10256" max="10508" width="9.14285714285714" style="104"/>
    <col min="10509" max="10509" width="6.42857142857143" style="104" customWidth="1"/>
    <col min="10510" max="10510" width="8.42857142857143" style="104" customWidth="1"/>
    <col min="10511" max="10511" width="25.4285714285714" style="104" customWidth="1"/>
    <col min="10512" max="10764" width="9.14285714285714" style="104"/>
    <col min="10765" max="10765" width="6.42857142857143" style="104" customWidth="1"/>
    <col min="10766" max="10766" width="8.42857142857143" style="104" customWidth="1"/>
    <col min="10767" max="10767" width="25.4285714285714" style="104" customWidth="1"/>
    <col min="10768" max="11020" width="9.14285714285714" style="104"/>
    <col min="11021" max="11021" width="6.42857142857143" style="104" customWidth="1"/>
    <col min="11022" max="11022" width="8.42857142857143" style="104" customWidth="1"/>
    <col min="11023" max="11023" width="25.4285714285714" style="104" customWidth="1"/>
    <col min="11024" max="11276" width="9.14285714285714" style="104"/>
    <col min="11277" max="11277" width="6.42857142857143" style="104" customWidth="1"/>
    <col min="11278" max="11278" width="8.42857142857143" style="104" customWidth="1"/>
    <col min="11279" max="11279" width="25.4285714285714" style="104" customWidth="1"/>
    <col min="11280" max="11532" width="9.14285714285714" style="104"/>
    <col min="11533" max="11533" width="6.42857142857143" style="104" customWidth="1"/>
    <col min="11534" max="11534" width="8.42857142857143" style="104" customWidth="1"/>
    <col min="11535" max="11535" width="25.4285714285714" style="104" customWidth="1"/>
    <col min="11536" max="11788" width="9.14285714285714" style="104"/>
    <col min="11789" max="11789" width="6.42857142857143" style="104" customWidth="1"/>
    <col min="11790" max="11790" width="8.42857142857143" style="104" customWidth="1"/>
    <col min="11791" max="11791" width="25.4285714285714" style="104" customWidth="1"/>
    <col min="11792" max="12044" width="9.14285714285714" style="104"/>
    <col min="12045" max="12045" width="6.42857142857143" style="104" customWidth="1"/>
    <col min="12046" max="12046" width="8.42857142857143" style="104" customWidth="1"/>
    <col min="12047" max="12047" width="25.4285714285714" style="104" customWidth="1"/>
    <col min="12048" max="12300" width="9.14285714285714" style="104"/>
    <col min="12301" max="12301" width="6.42857142857143" style="104" customWidth="1"/>
    <col min="12302" max="12302" width="8.42857142857143" style="104" customWidth="1"/>
    <col min="12303" max="12303" width="25.4285714285714" style="104" customWidth="1"/>
    <col min="12304" max="12556" width="9.14285714285714" style="104"/>
    <col min="12557" max="12557" width="6.42857142857143" style="104" customWidth="1"/>
    <col min="12558" max="12558" width="8.42857142857143" style="104" customWidth="1"/>
    <col min="12559" max="12559" width="25.4285714285714" style="104" customWidth="1"/>
    <col min="12560" max="12812" width="9.14285714285714" style="104"/>
    <col min="12813" max="12813" width="6.42857142857143" style="104" customWidth="1"/>
    <col min="12814" max="12814" width="8.42857142857143" style="104" customWidth="1"/>
    <col min="12815" max="12815" width="25.4285714285714" style="104" customWidth="1"/>
    <col min="12816" max="13068" width="9.14285714285714" style="104"/>
    <col min="13069" max="13069" width="6.42857142857143" style="104" customWidth="1"/>
    <col min="13070" max="13070" width="8.42857142857143" style="104" customWidth="1"/>
    <col min="13071" max="13071" width="25.4285714285714" style="104" customWidth="1"/>
    <col min="13072" max="13324" width="9.14285714285714" style="104"/>
    <col min="13325" max="13325" width="6.42857142857143" style="104" customWidth="1"/>
    <col min="13326" max="13326" width="8.42857142857143" style="104" customWidth="1"/>
    <col min="13327" max="13327" width="25.4285714285714" style="104" customWidth="1"/>
    <col min="13328" max="13580" width="9.14285714285714" style="104"/>
    <col min="13581" max="13581" width="6.42857142857143" style="104" customWidth="1"/>
    <col min="13582" max="13582" width="8.42857142857143" style="104" customWidth="1"/>
    <col min="13583" max="13583" width="25.4285714285714" style="104" customWidth="1"/>
    <col min="13584" max="13836" width="9.14285714285714" style="104"/>
    <col min="13837" max="13837" width="6.42857142857143" style="104" customWidth="1"/>
    <col min="13838" max="13838" width="8.42857142857143" style="104" customWidth="1"/>
    <col min="13839" max="13839" width="25.4285714285714" style="104" customWidth="1"/>
    <col min="13840" max="14092" width="9.14285714285714" style="104"/>
    <col min="14093" max="14093" width="6.42857142857143" style="104" customWidth="1"/>
    <col min="14094" max="14094" width="8.42857142857143" style="104" customWidth="1"/>
    <col min="14095" max="14095" width="25.4285714285714" style="104" customWidth="1"/>
    <col min="14096" max="14348" width="9.14285714285714" style="104"/>
    <col min="14349" max="14349" width="6.42857142857143" style="104" customWidth="1"/>
    <col min="14350" max="14350" width="8.42857142857143" style="104" customWidth="1"/>
    <col min="14351" max="14351" width="25.4285714285714" style="104" customWidth="1"/>
    <col min="14352" max="14604" width="9.14285714285714" style="104"/>
    <col min="14605" max="14605" width="6.42857142857143" style="104" customWidth="1"/>
    <col min="14606" max="14606" width="8.42857142857143" style="104" customWidth="1"/>
    <col min="14607" max="14607" width="25.4285714285714" style="104" customWidth="1"/>
    <col min="14608" max="14860" width="9.14285714285714" style="104"/>
    <col min="14861" max="14861" width="6.42857142857143" style="104" customWidth="1"/>
    <col min="14862" max="14862" width="8.42857142857143" style="104" customWidth="1"/>
    <col min="14863" max="14863" width="25.4285714285714" style="104" customWidth="1"/>
    <col min="14864" max="15116" width="9.14285714285714" style="104"/>
    <col min="15117" max="15117" width="6.42857142857143" style="104" customWidth="1"/>
    <col min="15118" max="15118" width="8.42857142857143" style="104" customWidth="1"/>
    <col min="15119" max="15119" width="25.4285714285714" style="104" customWidth="1"/>
    <col min="15120" max="15372" width="9.14285714285714" style="104"/>
    <col min="15373" max="15373" width="6.42857142857143" style="104" customWidth="1"/>
    <col min="15374" max="15374" width="8.42857142857143" style="104" customWidth="1"/>
    <col min="15375" max="15375" width="25.4285714285714" style="104" customWidth="1"/>
    <col min="15376" max="15628" width="9.14285714285714" style="104"/>
    <col min="15629" max="15629" width="6.42857142857143" style="104" customWidth="1"/>
    <col min="15630" max="15630" width="8.42857142857143" style="104" customWidth="1"/>
    <col min="15631" max="15631" width="25.4285714285714" style="104" customWidth="1"/>
    <col min="15632" max="15884" width="9.14285714285714" style="104"/>
    <col min="15885" max="15885" width="6.42857142857143" style="104" customWidth="1"/>
    <col min="15886" max="15886" width="8.42857142857143" style="104" customWidth="1"/>
    <col min="15887" max="15887" width="25.4285714285714" style="104" customWidth="1"/>
    <col min="15888" max="16140" width="9.14285714285714" style="104"/>
    <col min="16141" max="16141" width="6.42857142857143" style="104" customWidth="1"/>
    <col min="16142" max="16142" width="8.42857142857143" style="104" customWidth="1"/>
    <col min="16143" max="16143" width="25.4285714285714" style="104" customWidth="1"/>
    <col min="16144" max="16384" width="9.14285714285714" style="104"/>
  </cols>
  <sheetData>
    <row r="1" ht="15.75" spans="1:21">
      <c r="A1" s="105"/>
      <c r="B1" s="106"/>
      <c r="C1" s="106"/>
      <c r="D1" s="106"/>
      <c r="E1" s="106"/>
      <c r="F1" s="106"/>
      <c r="G1" s="106"/>
      <c r="H1" s="106"/>
      <c r="I1" s="106"/>
      <c r="J1" s="106"/>
      <c r="K1" s="106"/>
      <c r="L1" s="106"/>
      <c r="M1" s="106"/>
      <c r="N1" s="106"/>
      <c r="O1" s="107"/>
    </row>
    <row r="2" spans="1:21">
      <c r="A2" s="108"/>
      <c r="O2" s="109"/>
    </row>
    <row r="3" ht="20.25" spans="1:21">
      <c r="A3" s="108"/>
      <c r="C3" s="110" t="s">
        <v>0</v>
      </c>
      <c r="D3" s="110"/>
      <c r="E3" s="110"/>
      <c r="F3" s="110"/>
      <c r="G3" s="110"/>
      <c r="H3" s="110"/>
      <c r="I3" s="110"/>
      <c r="J3" s="110"/>
      <c r="K3" s="110"/>
      <c r="L3" s="110"/>
      <c r="M3" s="110"/>
      <c r="N3" s="110"/>
      <c r="O3" s="111"/>
    </row>
    <row r="4" customHeight="1" spans="1:21">
      <c r="A4" s="108"/>
      <c r="D4" s="112" t="s">
        <v>1</v>
      </c>
      <c r="E4" s="112"/>
      <c r="F4" s="112"/>
      <c r="G4" s="112"/>
      <c r="H4" s="112"/>
      <c r="I4" s="112"/>
      <c r="J4" s="112"/>
      <c r="K4" s="112"/>
      <c r="L4" s="112"/>
      <c r="M4" s="112"/>
      <c r="N4" s="112"/>
      <c r="O4" s="113"/>
    </row>
    <row r="5" spans="1:21">
      <c r="A5" s="108"/>
      <c r="D5" s="114" t="s">
        <v>2</v>
      </c>
      <c r="E5" s="114"/>
      <c r="F5" s="114"/>
      <c r="G5" s="114"/>
      <c r="H5" s="114"/>
      <c r="I5" s="114"/>
      <c r="J5" s="114"/>
      <c r="K5" s="114"/>
      <c r="L5" s="114"/>
      <c r="M5" s="114"/>
      <c r="N5" s="114"/>
      <c r="O5" s="109"/>
    </row>
    <row r="6" spans="1:21">
      <c r="A6" s="108"/>
      <c r="D6" s="114"/>
      <c r="E6" s="114"/>
      <c r="F6" s="114"/>
      <c r="G6" s="114"/>
      <c r="H6" s="114"/>
      <c r="I6" s="114"/>
      <c r="J6" s="114"/>
      <c r="K6" s="114"/>
      <c r="L6" s="114"/>
      <c r="M6" s="114"/>
      <c r="N6" s="114"/>
      <c r="O6" s="115"/>
    </row>
    <row r="7" spans="1:21">
      <c r="A7" s="108"/>
      <c r="O7" s="109"/>
    </row>
    <row r="8" ht="95.25" customHeight="1" spans="1:21">
      <c r="A8" s="108"/>
      <c r="O8" s="109"/>
    </row>
    <row r="9" ht="34.5" spans="1:21">
      <c r="A9" s="116" t="s">
        <v>3</v>
      </c>
      <c r="B9" s="117"/>
      <c r="C9" s="117"/>
      <c r="D9" s="117"/>
      <c r="E9" s="117"/>
      <c r="F9" s="117"/>
      <c r="G9" s="117"/>
      <c r="H9" s="117"/>
      <c r="I9" s="117"/>
      <c r="J9" s="117"/>
      <c r="K9" s="117"/>
      <c r="L9" s="117"/>
      <c r="M9" s="117"/>
      <c r="N9" s="117"/>
      <c r="O9" s="118"/>
      <c r="U9" s="119"/>
    </row>
    <row r="10" ht="87" customHeight="1" spans="1:21">
      <c r="A10" s="120" t="s">
        <v>4</v>
      </c>
      <c r="B10" s="121"/>
      <c r="C10" s="121"/>
      <c r="D10" s="121"/>
      <c r="E10" s="121"/>
      <c r="F10" s="121"/>
      <c r="G10" s="121"/>
      <c r="H10" s="121"/>
      <c r="I10" s="121"/>
      <c r="J10" s="121"/>
      <c r="K10" s="121"/>
      <c r="L10" s="121"/>
      <c r="M10" s="121"/>
      <c r="N10" s="121"/>
      <c r="O10" s="122"/>
      <c r="R10" s="123" t="s">
        <v>5</v>
      </c>
      <c r="T10" s="124"/>
    </row>
    <row r="11" ht="90" customHeight="1" spans="1:21">
      <c r="A11" s="125" t="s">
        <v>6</v>
      </c>
      <c r="B11" s="126"/>
      <c r="C11" s="126"/>
      <c r="D11" s="126"/>
      <c r="E11" s="126"/>
      <c r="F11" s="126"/>
      <c r="G11" s="126"/>
      <c r="H11" s="126"/>
      <c r="I11" s="126"/>
      <c r="J11" s="126"/>
      <c r="K11" s="126"/>
      <c r="L11" s="126"/>
      <c r="M11" s="126"/>
      <c r="N11" s="126"/>
      <c r="O11" s="127"/>
    </row>
    <row r="12" ht="20.25" customHeight="1" spans="1:21">
      <c r="A12" s="125"/>
      <c r="B12" s="126"/>
      <c r="C12" s="126"/>
      <c r="D12" s="126"/>
      <c r="E12" s="126"/>
      <c r="F12" s="126"/>
      <c r="G12" s="126"/>
      <c r="H12" s="126"/>
      <c r="I12" s="126"/>
      <c r="J12" s="126"/>
      <c r="K12" s="126"/>
      <c r="L12" s="126"/>
      <c r="M12" s="126"/>
      <c r="N12" s="126"/>
      <c r="O12" s="127"/>
    </row>
    <row r="13" spans="1:21">
      <c r="A13" s="108"/>
      <c r="O13" s="109"/>
    </row>
    <row r="14" spans="1:21">
      <c r="A14" s="128"/>
      <c r="B14" s="124"/>
      <c r="C14" s="124"/>
      <c r="D14" s="124"/>
      <c r="E14" s="124"/>
      <c r="F14" s="124"/>
      <c r="G14" s="124"/>
      <c r="H14" s="124"/>
      <c r="I14" s="124"/>
      <c r="J14" s="124"/>
      <c r="K14" s="124"/>
      <c r="L14" s="124"/>
      <c r="M14" s="124"/>
      <c r="N14" s="124"/>
      <c r="O14" s="129"/>
    </row>
    <row r="15" ht="51" customHeight="1" spans="1:21">
      <c r="A15" s="130" t="s">
        <v>7</v>
      </c>
      <c r="B15" s="131"/>
      <c r="C15" s="131"/>
      <c r="D15" s="131"/>
      <c r="E15" s="131"/>
      <c r="F15" s="131"/>
      <c r="G15" s="131"/>
      <c r="H15" s="131"/>
      <c r="I15" s="131"/>
      <c r="J15" s="131"/>
      <c r="K15" s="131"/>
      <c r="L15" s="131"/>
      <c r="M15" s="131"/>
      <c r="N15" s="131"/>
      <c r="O15" s="132"/>
    </row>
    <row r="16" ht="15.75"/>
  </sheetData>
  <mergeCells count="7">
    <mergeCell ref="C3:O3"/>
    <mergeCell ref="D4:O4"/>
    <mergeCell ref="A9:O9"/>
    <mergeCell ref="A10:O10"/>
    <mergeCell ref="A11:O11"/>
    <mergeCell ref="A14:O14"/>
    <mergeCell ref="A15:O15"/>
  </mergeCells>
  <pageMargins left="0.45" right="0.25" top="0.65" bottom="0.37" header="0.3" footer="0.3"/>
  <pageSetup paperSize="9"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5"/>
  <sheetViews>
    <sheetView view="pageBreakPreview" zoomScale="102" zoomScaleNormal="85" topLeftCell="A6" workbookViewId="0">
      <selection activeCell="A40" sqref="A40:G40"/>
    </sheetView>
  </sheetViews>
  <sheetFormatPr defaultColWidth="8.85714285714286" defaultRowHeight="15" outlineLevelCol="6"/>
  <cols>
    <col min="1" max="1" width="9.42857142857143" style="63" customWidth="1"/>
    <col min="2" max="2" width="13.4285714285714" style="63" customWidth="1"/>
    <col min="3" max="3" width="20.8571428571429" style="63" customWidth="1"/>
    <col min="4" max="6" width="17.5714285714286" style="63" customWidth="1"/>
    <col min="7" max="7" width="19.5714285714286" style="63" customWidth="1"/>
    <col min="8" max="16384" width="8.85714285714286" style="63"/>
  </cols>
  <sheetData>
    <row r="1" ht="20.25" customHeight="1" spans="1:7">
      <c r="A1" s="64" t="s">
        <v>8</v>
      </c>
      <c r="B1" s="64"/>
      <c r="C1" s="64"/>
      <c r="D1" s="65" t="s">
        <v>9</v>
      </c>
      <c r="E1" s="65"/>
      <c r="F1" s="65"/>
      <c r="G1" s="65"/>
    </row>
    <row r="2" ht="33.75" customHeight="1" spans="1:7">
      <c r="A2" s="66" t="s">
        <v>10</v>
      </c>
      <c r="B2" s="66"/>
      <c r="C2" s="66"/>
      <c r="D2" s="65"/>
      <c r="E2" s="65"/>
      <c r="F2" s="65"/>
      <c r="G2" s="65"/>
    </row>
    <row r="3" ht="15.6" customHeight="1" spans="1:7">
      <c r="A3" s="64" t="s">
        <v>11</v>
      </c>
      <c r="B3" s="64"/>
      <c r="C3" s="64"/>
      <c r="D3" s="67"/>
      <c r="E3" s="67"/>
      <c r="F3" s="67"/>
    </row>
    <row r="4" ht="15.6" customHeight="1" spans="1:7">
      <c r="A4" s="68"/>
      <c r="B4" s="68"/>
      <c r="C4" s="68"/>
      <c r="D4" s="69"/>
      <c r="E4" s="69"/>
      <c r="F4" s="69"/>
    </row>
    <row r="5" ht="23.25" customHeight="1" spans="1:7">
      <c r="A5" s="70" t="s">
        <v>12</v>
      </c>
      <c r="B5" s="70"/>
      <c r="C5" s="70"/>
      <c r="D5" s="70"/>
      <c r="E5" s="70"/>
      <c r="F5" s="70"/>
      <c r="G5" s="70"/>
    </row>
    <row r="6" ht="16.5" spans="1:7">
      <c r="A6" s="70" t="s">
        <v>13</v>
      </c>
      <c r="B6" s="70"/>
      <c r="C6" s="70"/>
      <c r="D6" s="70"/>
      <c r="E6" s="70"/>
      <c r="F6" s="70"/>
      <c r="G6" s="70"/>
    </row>
    <row r="7" ht="16.5" spans="1:7">
      <c r="A7" s="70" t="s">
        <v>14</v>
      </c>
      <c r="B7" s="70"/>
      <c r="C7" s="70"/>
      <c r="D7" s="70"/>
      <c r="E7" s="70"/>
      <c r="F7" s="70"/>
      <c r="G7" s="70"/>
    </row>
    <row r="8" ht="16.5" spans="1:7">
      <c r="A8" s="71" t="s">
        <v>15</v>
      </c>
    </row>
    <row r="9" s="62" customFormat="1" ht="22.5" customHeight="1" spans="1:7">
      <c r="A9" s="72" t="s">
        <v>16</v>
      </c>
      <c r="B9" s="72"/>
      <c r="C9" s="72"/>
      <c r="D9" s="73"/>
      <c r="E9" s="73"/>
      <c r="F9" s="74">
        <v>70</v>
      </c>
      <c r="G9" s="69" t="s">
        <v>17</v>
      </c>
    </row>
    <row r="10" s="62" customFormat="1" ht="22.5" customHeight="1" spans="1:7">
      <c r="A10" s="72" t="s">
        <v>18</v>
      </c>
      <c r="B10" s="72"/>
      <c r="C10" s="72"/>
      <c r="D10" s="75"/>
      <c r="E10" s="75"/>
      <c r="F10" s="74">
        <v>70</v>
      </c>
      <c r="G10" s="69" t="s">
        <v>17</v>
      </c>
    </row>
    <row r="11" s="62" customFormat="1" ht="16.5" customHeight="1" spans="1:7">
      <c r="A11" s="76" t="s">
        <v>19</v>
      </c>
      <c r="B11" s="69"/>
      <c r="C11" s="77"/>
      <c r="D11" s="75"/>
      <c r="E11" s="75"/>
      <c r="F11" s="78">
        <f>F10/F9*100</f>
        <v>100</v>
      </c>
      <c r="G11" s="79" t="s">
        <v>20</v>
      </c>
    </row>
    <row r="12" s="62" customFormat="1" ht="22.5" customHeight="1" spans="1:7">
      <c r="A12" s="72" t="s">
        <v>21</v>
      </c>
      <c r="B12" s="72"/>
      <c r="C12" s="72"/>
      <c r="D12" s="72"/>
      <c r="E12" s="72"/>
      <c r="F12" s="74">
        <v>70</v>
      </c>
      <c r="G12" s="69" t="s">
        <v>17</v>
      </c>
    </row>
    <row r="13" s="62" customFormat="1" ht="17.25" customHeight="1" spans="1:7">
      <c r="A13" s="76" t="s">
        <v>22</v>
      </c>
      <c r="B13" s="75"/>
      <c r="C13" s="75"/>
      <c r="D13" s="75"/>
      <c r="E13" s="75"/>
      <c r="F13" s="80">
        <f>F12/F10*100</f>
        <v>100</v>
      </c>
      <c r="G13" s="81" t="s">
        <v>20</v>
      </c>
    </row>
    <row r="14" ht="23.25" customHeight="1" spans="1:7">
      <c r="A14" s="82" t="s">
        <v>23</v>
      </c>
      <c r="B14" s="83"/>
      <c r="C14" s="83"/>
      <c r="D14" s="83"/>
      <c r="E14" s="83"/>
      <c r="F14" s="83"/>
      <c r="G14" s="83"/>
    </row>
    <row r="15" ht="17.25" customHeight="1" spans="1:7">
      <c r="A15" s="84" t="s">
        <v>24</v>
      </c>
      <c r="B15" s="83"/>
      <c r="C15" s="83"/>
      <c r="D15" s="83"/>
      <c r="E15" s="83"/>
      <c r="F15" s="83"/>
      <c r="G15" s="83"/>
    </row>
    <row r="16" ht="18.6" customHeight="1" spans="1:7">
      <c r="A16" s="70" t="s">
        <v>25</v>
      </c>
      <c r="B16" s="70"/>
      <c r="C16" s="70"/>
      <c r="D16" s="70"/>
      <c r="E16" s="70"/>
      <c r="F16" s="70"/>
      <c r="G16" s="70"/>
    </row>
    <row r="17" ht="16.5" spans="1:7">
      <c r="A17" s="85" t="s">
        <v>26</v>
      </c>
      <c r="B17" s="85" t="s">
        <v>27</v>
      </c>
      <c r="C17" s="86" t="s">
        <v>28</v>
      </c>
      <c r="D17" s="86" t="s">
        <v>29</v>
      </c>
      <c r="E17" s="86" t="s">
        <v>30</v>
      </c>
      <c r="F17" s="86" t="s">
        <v>31</v>
      </c>
      <c r="G17" s="86" t="s">
        <v>32</v>
      </c>
    </row>
    <row r="18" ht="16.5" spans="1:7">
      <c r="A18" s="85"/>
      <c r="B18" s="85"/>
      <c r="C18" s="87" t="s">
        <v>33</v>
      </c>
      <c r="D18" s="87" t="s">
        <v>33</v>
      </c>
      <c r="E18" s="87" t="s">
        <v>33</v>
      </c>
      <c r="F18" s="87" t="s">
        <v>33</v>
      </c>
      <c r="G18" s="87" t="s">
        <v>33</v>
      </c>
    </row>
    <row r="19" ht="20.45" customHeight="1" spans="1:7">
      <c r="A19" s="85" t="s">
        <v>34</v>
      </c>
      <c r="B19" s="88">
        <v>38</v>
      </c>
      <c r="C19" s="89">
        <v>0</v>
      </c>
      <c r="D19" s="89">
        <v>25</v>
      </c>
      <c r="E19" s="89">
        <v>8</v>
      </c>
      <c r="F19" s="89">
        <v>5</v>
      </c>
      <c r="G19" s="89">
        <v>0</v>
      </c>
    </row>
    <row r="20" ht="20.45" customHeight="1" spans="1:7">
      <c r="A20" s="85"/>
      <c r="B20" s="90">
        <f>B19/B23*100%</f>
        <v>0.542857142857143</v>
      </c>
      <c r="C20" s="91">
        <f>C19/$B$19*100%</f>
        <v>0</v>
      </c>
      <c r="D20" s="91">
        <f t="shared" ref="D20:G20" si="0">D19/$B$19*100%</f>
        <v>0.657894736842105</v>
      </c>
      <c r="E20" s="91">
        <f t="shared" si="0"/>
        <v>0.210526315789474</v>
      </c>
      <c r="F20" s="91">
        <f t="shared" si="0"/>
        <v>0.131578947368421</v>
      </c>
      <c r="G20" s="91">
        <f t="shared" si="0"/>
        <v>0</v>
      </c>
    </row>
    <row r="21" ht="20.45" customHeight="1" spans="1:7">
      <c r="A21" s="85" t="s">
        <v>35</v>
      </c>
      <c r="B21" s="88">
        <v>32</v>
      </c>
      <c r="C21" s="89">
        <v>0</v>
      </c>
      <c r="D21" s="89">
        <v>19</v>
      </c>
      <c r="E21" s="89">
        <v>10</v>
      </c>
      <c r="F21" s="89">
        <v>3</v>
      </c>
      <c r="G21" s="89">
        <v>0</v>
      </c>
    </row>
    <row r="22" ht="20.45" customHeight="1" spans="1:7">
      <c r="A22" s="85"/>
      <c r="B22" s="90">
        <f>B21/B23*100%</f>
        <v>0.457142857142857</v>
      </c>
      <c r="C22" s="91">
        <f>C21/$B$21*100%</f>
        <v>0</v>
      </c>
      <c r="D22" s="91">
        <f t="shared" ref="D22:G22" si="1">D21/$B$21*100%</f>
        <v>0.59375</v>
      </c>
      <c r="E22" s="91">
        <f t="shared" si="1"/>
        <v>0.3125</v>
      </c>
      <c r="F22" s="91">
        <f t="shared" si="1"/>
        <v>0.09375</v>
      </c>
      <c r="G22" s="91">
        <f t="shared" si="1"/>
        <v>0</v>
      </c>
    </row>
    <row r="23" ht="20.45" customHeight="1" spans="1:7">
      <c r="A23" s="85" t="s">
        <v>36</v>
      </c>
      <c r="B23" s="88">
        <f>B19+B21</f>
        <v>70</v>
      </c>
      <c r="C23" s="88">
        <f>$C$19+$C$21</f>
        <v>0</v>
      </c>
      <c r="D23" s="88">
        <f>D19+D21</f>
        <v>44</v>
      </c>
      <c r="E23" s="88">
        <f>E19+E21</f>
        <v>18</v>
      </c>
      <c r="F23" s="88">
        <f>F19+F21</f>
        <v>8</v>
      </c>
      <c r="G23" s="88">
        <f>G19+G21</f>
        <v>0</v>
      </c>
    </row>
    <row r="24" ht="20.45" customHeight="1" spans="1:7">
      <c r="A24" s="85"/>
      <c r="B24" s="92">
        <f>B20+B22</f>
        <v>1</v>
      </c>
      <c r="C24" s="90">
        <f>C23/$B$23*100%</f>
        <v>0</v>
      </c>
      <c r="D24" s="90">
        <f t="shared" ref="D24:G24" si="2">D23/$B$23*100%</f>
        <v>0.628571428571429</v>
      </c>
      <c r="E24" s="90">
        <f t="shared" si="2"/>
        <v>0.257142857142857</v>
      </c>
      <c r="F24" s="90">
        <f t="shared" si="2"/>
        <v>0.114285714285714</v>
      </c>
      <c r="G24" s="90">
        <f t="shared" si="2"/>
        <v>0</v>
      </c>
    </row>
    <row r="25" ht="16.5" spans="1:7">
      <c r="A25" s="93"/>
    </row>
    <row r="26" ht="20.25" customHeight="1" spans="1:7">
      <c r="A26" s="94" t="s">
        <v>37</v>
      </c>
      <c r="B26" s="94"/>
      <c r="C26" s="94"/>
      <c r="D26" s="94"/>
      <c r="E26" s="94"/>
      <c r="F26" s="94"/>
      <c r="G26" s="94"/>
    </row>
    <row r="28" ht="26.25" customHeight="1" spans="1:7">
      <c r="A28" s="95" t="s">
        <v>38</v>
      </c>
    </row>
    <row r="29" ht="30.75" customHeight="1" spans="1:7">
      <c r="A29" s="70" t="s">
        <v>39</v>
      </c>
      <c r="B29" s="70"/>
      <c r="C29" s="70"/>
      <c r="D29" s="70"/>
      <c r="E29" s="70"/>
      <c r="F29" s="70"/>
      <c r="G29" s="70"/>
    </row>
    <row r="30" ht="64.9" customHeight="1" spans="1:7">
      <c r="A30" s="85" t="s">
        <v>40</v>
      </c>
      <c r="B30" s="85" t="s">
        <v>41</v>
      </c>
      <c r="C30" s="85"/>
      <c r="D30" s="85" t="s">
        <v>42</v>
      </c>
      <c r="E30" s="85" t="s">
        <v>43</v>
      </c>
      <c r="F30" s="96" t="s">
        <v>44</v>
      </c>
      <c r="G30" s="97"/>
    </row>
    <row r="31" ht="28.15" customHeight="1" spans="1:7">
      <c r="A31" s="98">
        <v>1</v>
      </c>
      <c r="B31" s="98" t="s">
        <v>45</v>
      </c>
      <c r="C31" s="98"/>
      <c r="D31" s="99">
        <v>46</v>
      </c>
      <c r="E31" s="100">
        <f>D31/$F$12*100%</f>
        <v>0.657142857142857</v>
      </c>
      <c r="F31" s="100" t="s">
        <v>46</v>
      </c>
      <c r="G31" s="100"/>
    </row>
    <row r="32" ht="36" customHeight="1" spans="1:7">
      <c r="A32" s="98">
        <v>2</v>
      </c>
      <c r="B32" s="98" t="s">
        <v>47</v>
      </c>
      <c r="C32" s="98"/>
      <c r="D32" s="98">
        <v>15</v>
      </c>
      <c r="E32" s="100">
        <f t="shared" ref="E32:E37" si="3">D32/$F$12*100%</f>
        <v>0.214285714285714</v>
      </c>
      <c r="F32" s="100" t="s">
        <v>48</v>
      </c>
      <c r="G32" s="100"/>
    </row>
    <row r="33" ht="29.25" customHeight="1" spans="1:7">
      <c r="A33" s="98">
        <v>3</v>
      </c>
      <c r="B33" s="98" t="s">
        <v>49</v>
      </c>
      <c r="C33" s="98"/>
      <c r="D33" s="98">
        <v>41</v>
      </c>
      <c r="E33" s="100">
        <f t="shared" si="3"/>
        <v>0.585714285714286</v>
      </c>
      <c r="F33" s="100" t="s">
        <v>50</v>
      </c>
      <c r="G33" s="100"/>
    </row>
    <row r="34" ht="38.25" customHeight="1" spans="1:7">
      <c r="A34" s="98">
        <v>4</v>
      </c>
      <c r="B34" s="98" t="s">
        <v>51</v>
      </c>
      <c r="C34" s="98"/>
      <c r="D34" s="98">
        <v>14</v>
      </c>
      <c r="E34" s="100">
        <f t="shared" si="3"/>
        <v>0.2</v>
      </c>
      <c r="F34" s="100" t="s">
        <v>52</v>
      </c>
      <c r="G34" s="100"/>
    </row>
    <row r="35" ht="34" customHeight="1" spans="1:7">
      <c r="A35" s="98">
        <v>5</v>
      </c>
      <c r="B35" s="98" t="s">
        <v>53</v>
      </c>
      <c r="C35" s="98"/>
      <c r="D35" s="98">
        <v>15</v>
      </c>
      <c r="E35" s="100">
        <f t="shared" si="3"/>
        <v>0.214285714285714</v>
      </c>
      <c r="F35" s="100" t="s">
        <v>54</v>
      </c>
      <c r="G35" s="100"/>
    </row>
    <row r="36" ht="28.15" customHeight="1" spans="1:7">
      <c r="A36" s="98">
        <v>6</v>
      </c>
      <c r="B36" s="98" t="s">
        <v>55</v>
      </c>
      <c r="C36" s="98"/>
      <c r="D36" s="98">
        <v>17</v>
      </c>
      <c r="E36" s="100">
        <f t="shared" si="3"/>
        <v>0.242857142857143</v>
      </c>
      <c r="F36" s="100" t="s">
        <v>56</v>
      </c>
      <c r="G36" s="100"/>
    </row>
    <row r="37" ht="28.15" customHeight="1" spans="1:7">
      <c r="A37" s="98">
        <v>7</v>
      </c>
      <c r="B37" s="98" t="s">
        <v>57</v>
      </c>
      <c r="C37" s="98"/>
      <c r="D37" s="98">
        <v>6</v>
      </c>
      <c r="E37" s="100">
        <f t="shared" si="3"/>
        <v>0.0857142857142857</v>
      </c>
      <c r="F37" s="100" t="s">
        <v>58</v>
      </c>
      <c r="G37" s="100"/>
    </row>
    <row r="38" ht="40.15" customHeight="1" spans="1:7">
      <c r="A38" s="101" t="s">
        <v>59</v>
      </c>
    </row>
    <row r="39" ht="33" customHeight="1" spans="1:7">
      <c r="A39" s="69" t="s">
        <v>60</v>
      </c>
      <c r="B39" s="69"/>
      <c r="C39" s="69"/>
      <c r="D39" s="69"/>
      <c r="E39" s="69"/>
      <c r="F39" s="69"/>
      <c r="G39" s="69"/>
    </row>
    <row r="40" ht="25.5" customHeight="1" spans="1:7">
      <c r="A40" s="102" t="s">
        <v>61</v>
      </c>
      <c r="B40" s="102"/>
      <c r="C40" s="102"/>
      <c r="D40" s="102"/>
      <c r="E40" s="102"/>
      <c r="F40" s="102"/>
      <c r="G40" s="102"/>
    </row>
    <row r="41" ht="21.75" customHeight="1" spans="1:7">
      <c r="A41" s="102" t="s">
        <v>62</v>
      </c>
      <c r="B41" s="102"/>
      <c r="C41" s="102"/>
      <c r="D41" s="102"/>
      <c r="E41" s="102"/>
      <c r="F41" s="102"/>
      <c r="G41" s="102"/>
    </row>
    <row r="42" ht="26.25" customHeight="1" spans="1:7">
      <c r="A42" s="102" t="s">
        <v>63</v>
      </c>
      <c r="B42" s="102"/>
      <c r="C42" s="102"/>
      <c r="D42" s="102"/>
      <c r="E42" s="102"/>
      <c r="F42" s="102"/>
      <c r="G42" s="102"/>
    </row>
    <row r="43" ht="9.6" customHeight="1" spans="1:7">
      <c r="A43" s="64"/>
      <c r="B43" s="64"/>
      <c r="C43" s="64"/>
      <c r="D43" s="64"/>
      <c r="E43" s="103"/>
      <c r="F43" s="64"/>
      <c r="G43" s="64"/>
    </row>
    <row r="44" ht="33" customHeight="1" spans="1:7">
      <c r="A44" s="72" t="s">
        <v>64</v>
      </c>
      <c r="B44" s="69"/>
      <c r="C44" s="69"/>
      <c r="D44" s="69"/>
      <c r="E44" s="69"/>
      <c r="F44" s="69"/>
      <c r="G44" s="69"/>
    </row>
    <row r="45" ht="33" customHeight="1" spans="1:7">
      <c r="A45" s="64"/>
      <c r="B45" s="64"/>
      <c r="C45" s="64"/>
      <c r="D45" s="64"/>
      <c r="E45" s="103"/>
      <c r="F45" s="64"/>
      <c r="G45" s="64"/>
    </row>
  </sheetData>
  <mergeCells count="40">
    <mergeCell ref="A1:C1"/>
    <mergeCell ref="A2:C2"/>
    <mergeCell ref="A3:C3"/>
    <mergeCell ref="A4:C4"/>
    <mergeCell ref="A5:G5"/>
    <mergeCell ref="A6:G6"/>
    <mergeCell ref="A7:G7"/>
    <mergeCell ref="A9:C9"/>
    <mergeCell ref="A10:C10"/>
    <mergeCell ref="A12:E12"/>
    <mergeCell ref="A16:G16"/>
    <mergeCell ref="A26:G26"/>
    <mergeCell ref="A29:G29"/>
    <mergeCell ref="B30:C30"/>
    <mergeCell ref="F30:G30"/>
    <mergeCell ref="B31:C31"/>
    <mergeCell ref="F31:G31"/>
    <mergeCell ref="B32:C32"/>
    <mergeCell ref="F32:G32"/>
    <mergeCell ref="B33:C33"/>
    <mergeCell ref="F33:G33"/>
    <mergeCell ref="B34:C34"/>
    <mergeCell ref="F34:G34"/>
    <mergeCell ref="B35:C35"/>
    <mergeCell ref="F35:G35"/>
    <mergeCell ref="B36:C36"/>
    <mergeCell ref="F36:G36"/>
    <mergeCell ref="B37:C37"/>
    <mergeCell ref="F37:G37"/>
    <mergeCell ref="A39:G39"/>
    <mergeCell ref="A40:G40"/>
    <mergeCell ref="A41:G41"/>
    <mergeCell ref="A42:G42"/>
    <mergeCell ref="A44:G44"/>
    <mergeCell ref="A17:A18"/>
    <mergeCell ref="A19:A20"/>
    <mergeCell ref="A21:A22"/>
    <mergeCell ref="A23:A24"/>
    <mergeCell ref="B17:B18"/>
    <mergeCell ref="D1:G2"/>
  </mergeCells>
  <pageMargins left="0.7" right="0.7" top="0.48" bottom="0.42" header="0.3" footer="0.3"/>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72"/>
  <sheetViews>
    <sheetView tabSelected="1" topLeftCell="Z1" workbookViewId="0">
      <selection activeCell="AT3" sqref="AT3"/>
    </sheetView>
  </sheetViews>
  <sheetFormatPr defaultColWidth="9.14285714285714" defaultRowHeight="15"/>
  <cols>
    <col min="46" max="46" width="26.4285714285714" customWidth="1"/>
  </cols>
  <sheetData>
    <row r="1" spans="1:46">
      <c r="A1" s="48" t="s">
        <v>65</v>
      </c>
      <c r="B1" s="48" t="s">
        <v>66</v>
      </c>
      <c r="C1" s="48" t="s">
        <v>67</v>
      </c>
      <c r="D1" s="48" t="s">
        <v>68</v>
      </c>
      <c r="E1" s="48" t="s">
        <v>69</v>
      </c>
      <c r="F1" s="48" t="s">
        <v>70</v>
      </c>
      <c r="G1" s="49" t="s">
        <v>71</v>
      </c>
      <c r="H1" s="48" t="s">
        <v>72</v>
      </c>
      <c r="I1" s="48" t="s">
        <v>73</v>
      </c>
      <c r="J1" s="48" t="s">
        <v>74</v>
      </c>
      <c r="K1" s="48" t="s">
        <v>75</v>
      </c>
      <c r="L1" s="48" t="s">
        <v>76</v>
      </c>
      <c r="M1" s="48" t="s">
        <v>77</v>
      </c>
      <c r="N1" s="48" t="s">
        <v>78</v>
      </c>
      <c r="O1" s="48" t="s">
        <v>79</v>
      </c>
      <c r="P1" s="48" t="s">
        <v>80</v>
      </c>
      <c r="Q1" s="48" t="s">
        <v>81</v>
      </c>
      <c r="R1" s="50"/>
      <c r="S1" s="50"/>
      <c r="T1" s="50"/>
      <c r="U1" s="50"/>
      <c r="V1" s="48" t="s">
        <v>82</v>
      </c>
      <c r="W1" s="50"/>
      <c r="X1" s="50"/>
      <c r="Y1" s="50"/>
      <c r="Z1" s="50"/>
      <c r="AA1" s="50"/>
      <c r="AB1" s="50"/>
      <c r="AC1" s="50"/>
      <c r="AD1" s="50"/>
      <c r="AE1" s="50"/>
      <c r="AF1" s="51" t="s">
        <v>83</v>
      </c>
      <c r="AG1" s="51"/>
      <c r="AH1" s="51"/>
      <c r="AI1" s="51"/>
      <c r="AJ1" s="48" t="s">
        <v>84</v>
      </c>
      <c r="AK1" s="50"/>
      <c r="AL1" s="50"/>
      <c r="AM1" s="50"/>
      <c r="AN1" s="48" t="s">
        <v>85</v>
      </c>
      <c r="AO1" s="50"/>
      <c r="AP1" s="50"/>
      <c r="AQ1" s="48" t="s">
        <v>86</v>
      </c>
      <c r="AR1" s="48" t="s">
        <v>87</v>
      </c>
      <c r="AS1" s="52" t="s">
        <v>88</v>
      </c>
      <c r="AT1" s="51" t="s">
        <v>89</v>
      </c>
    </row>
    <row r="2" ht="71.25" spans="1:46">
      <c r="A2" s="53"/>
      <c r="B2" s="53"/>
      <c r="C2" s="53"/>
      <c r="D2" s="53"/>
      <c r="E2" s="53"/>
      <c r="F2" s="53"/>
      <c r="G2" s="54"/>
      <c r="H2" s="53"/>
      <c r="I2" s="53"/>
      <c r="J2" s="53"/>
      <c r="K2" s="53"/>
      <c r="L2" s="53"/>
      <c r="M2" s="53"/>
      <c r="N2" s="53"/>
      <c r="O2" s="53"/>
      <c r="P2" s="53"/>
      <c r="Q2" s="48" t="s">
        <v>90</v>
      </c>
      <c r="R2" s="48" t="s">
        <v>91</v>
      </c>
      <c r="S2" s="48" t="s">
        <v>92</v>
      </c>
      <c r="T2" s="48" t="s">
        <v>93</v>
      </c>
      <c r="U2" s="48" t="s">
        <v>94</v>
      </c>
      <c r="V2" s="48" t="s">
        <v>95</v>
      </c>
      <c r="W2" s="48" t="s">
        <v>96</v>
      </c>
      <c r="X2" s="48" t="s">
        <v>97</v>
      </c>
      <c r="Y2" s="48" t="s">
        <v>98</v>
      </c>
      <c r="Z2" s="48" t="s">
        <v>99</v>
      </c>
      <c r="AA2" s="48" t="s">
        <v>100</v>
      </c>
      <c r="AB2" s="48" t="s">
        <v>101</v>
      </c>
      <c r="AC2" s="48" t="s">
        <v>102</v>
      </c>
      <c r="AD2" s="48" t="s">
        <v>103</v>
      </c>
      <c r="AE2" s="48" t="s">
        <v>104</v>
      </c>
      <c r="AF2" s="48" t="s">
        <v>105</v>
      </c>
      <c r="AG2" s="48" t="s">
        <v>106</v>
      </c>
      <c r="AH2" s="48" t="s">
        <v>107</v>
      </c>
      <c r="AI2" s="48" t="s">
        <v>108</v>
      </c>
      <c r="AJ2" s="48" t="s">
        <v>109</v>
      </c>
      <c r="AK2" s="48" t="s">
        <v>110</v>
      </c>
      <c r="AL2" s="48" t="s">
        <v>111</v>
      </c>
      <c r="AM2" s="48" t="s">
        <v>112</v>
      </c>
      <c r="AN2" s="48" t="s">
        <v>113</v>
      </c>
      <c r="AO2" s="48" t="s">
        <v>114</v>
      </c>
      <c r="AP2" s="48" t="s">
        <v>115</v>
      </c>
      <c r="AQ2" s="48"/>
      <c r="AR2" s="48"/>
      <c r="AS2" s="52"/>
      <c r="AT2" s="51"/>
    </row>
    <row r="3" ht="178.5" spans="1:46">
      <c r="A3" s="55">
        <v>1</v>
      </c>
      <c r="B3" s="56" t="s">
        <v>116</v>
      </c>
      <c r="C3" s="56" t="s">
        <v>117</v>
      </c>
      <c r="D3" s="56" t="s">
        <v>34</v>
      </c>
      <c r="E3" s="57">
        <v>170</v>
      </c>
      <c r="F3" s="57">
        <v>68</v>
      </c>
      <c r="G3" s="58">
        <f t="shared" ref="G3:G66" si="0">F3/E3/E3*10000</f>
        <v>23.5294117647059</v>
      </c>
      <c r="H3" s="56" t="s">
        <v>118</v>
      </c>
      <c r="I3" s="56" t="s">
        <v>119</v>
      </c>
      <c r="J3" s="56" t="s">
        <v>120</v>
      </c>
      <c r="K3" s="56" t="s">
        <v>120</v>
      </c>
      <c r="L3" s="56" t="s">
        <v>120</v>
      </c>
      <c r="M3" s="56" t="s">
        <v>120</v>
      </c>
      <c r="N3" s="56" t="s">
        <v>120</v>
      </c>
      <c r="O3" s="56" t="s">
        <v>121</v>
      </c>
      <c r="P3" s="56" t="s">
        <v>120</v>
      </c>
      <c r="Q3" s="56" t="s">
        <v>122</v>
      </c>
      <c r="R3" s="56" t="s">
        <v>123</v>
      </c>
      <c r="S3" s="56" t="s">
        <v>124</v>
      </c>
      <c r="T3" s="56" t="s">
        <v>125</v>
      </c>
      <c r="U3" s="56" t="s">
        <v>126</v>
      </c>
      <c r="V3" s="56" t="s">
        <v>127</v>
      </c>
      <c r="W3" s="56" t="s">
        <v>128</v>
      </c>
      <c r="X3" s="56" t="s">
        <v>129</v>
      </c>
      <c r="Y3" s="56" t="s">
        <v>130</v>
      </c>
      <c r="Z3" s="56" t="s">
        <v>131</v>
      </c>
      <c r="AA3" s="56" t="s">
        <v>132</v>
      </c>
      <c r="AB3" s="56" t="s">
        <v>133</v>
      </c>
      <c r="AC3" s="56" t="s">
        <v>134</v>
      </c>
      <c r="AD3" s="56" t="s">
        <v>135</v>
      </c>
      <c r="AE3" s="56" t="s">
        <v>136</v>
      </c>
      <c r="AF3" s="56" t="s">
        <v>137</v>
      </c>
      <c r="AG3" s="56" t="s">
        <v>138</v>
      </c>
      <c r="AH3" s="56" t="s">
        <v>138</v>
      </c>
      <c r="AI3" s="56" t="s">
        <v>138</v>
      </c>
      <c r="AJ3" s="56" t="s">
        <v>139</v>
      </c>
      <c r="AK3" s="56" t="s">
        <v>140</v>
      </c>
      <c r="AL3" s="56" t="s">
        <v>141</v>
      </c>
      <c r="AM3" s="56" t="s">
        <v>142</v>
      </c>
      <c r="AN3" s="59" t="s">
        <v>143</v>
      </c>
      <c r="AO3" s="59" t="s">
        <v>144</v>
      </c>
      <c r="AP3" s="50"/>
      <c r="AQ3" s="59" t="s">
        <v>145</v>
      </c>
      <c r="AR3" s="50"/>
      <c r="AS3" s="60" t="s">
        <v>146</v>
      </c>
      <c r="AT3" s="59" t="s">
        <v>147</v>
      </c>
    </row>
    <row r="4" ht="140.25" spans="1:46">
      <c r="A4" s="55">
        <v>2</v>
      </c>
      <c r="B4" s="56" t="s">
        <v>148</v>
      </c>
      <c r="C4" s="56" t="s">
        <v>149</v>
      </c>
      <c r="D4" s="56" t="s">
        <v>35</v>
      </c>
      <c r="E4" s="57">
        <v>152</v>
      </c>
      <c r="F4" s="57">
        <v>51</v>
      </c>
      <c r="G4" s="58">
        <f t="shared" si="0"/>
        <v>22.0740997229917</v>
      </c>
      <c r="H4" s="56" t="s">
        <v>150</v>
      </c>
      <c r="I4" s="56" t="s">
        <v>151</v>
      </c>
      <c r="J4" s="56" t="s">
        <v>120</v>
      </c>
      <c r="K4" s="56" t="s">
        <v>120</v>
      </c>
      <c r="L4" s="56" t="s">
        <v>120</v>
      </c>
      <c r="M4" s="56" t="s">
        <v>152</v>
      </c>
      <c r="N4" s="56" t="s">
        <v>120</v>
      </c>
      <c r="O4" s="56" t="s">
        <v>120</v>
      </c>
      <c r="P4" s="56" t="s">
        <v>153</v>
      </c>
      <c r="Q4" s="56" t="s">
        <v>154</v>
      </c>
      <c r="R4" s="56" t="s">
        <v>155</v>
      </c>
      <c r="S4" s="56" t="s">
        <v>156</v>
      </c>
      <c r="T4" s="56" t="s">
        <v>157</v>
      </c>
      <c r="U4" s="56" t="s">
        <v>158</v>
      </c>
      <c r="V4" s="56" t="s">
        <v>159</v>
      </c>
      <c r="W4" s="56" t="s">
        <v>160</v>
      </c>
      <c r="X4" s="56" t="s">
        <v>161</v>
      </c>
      <c r="Y4" s="61"/>
      <c r="Z4" s="56" t="s">
        <v>162</v>
      </c>
      <c r="AA4" s="56" t="s">
        <v>163</v>
      </c>
      <c r="AB4" s="56" t="s">
        <v>164</v>
      </c>
      <c r="AC4" s="56" t="s">
        <v>141</v>
      </c>
      <c r="AD4" s="56" t="s">
        <v>165</v>
      </c>
      <c r="AE4" s="61"/>
      <c r="AF4" s="56" t="s">
        <v>137</v>
      </c>
      <c r="AG4" s="56" t="s">
        <v>138</v>
      </c>
      <c r="AH4" s="56" t="s">
        <v>138</v>
      </c>
      <c r="AI4" s="56" t="s">
        <v>166</v>
      </c>
      <c r="AJ4" s="56" t="s">
        <v>167</v>
      </c>
      <c r="AK4" s="61"/>
      <c r="AL4" s="56" t="s">
        <v>168</v>
      </c>
      <c r="AM4" s="56" t="s">
        <v>169</v>
      </c>
      <c r="AN4" s="59" t="s">
        <v>170</v>
      </c>
      <c r="AO4" s="59" t="s">
        <v>171</v>
      </c>
      <c r="AP4" s="59" t="s">
        <v>172</v>
      </c>
      <c r="AQ4" s="59" t="s">
        <v>145</v>
      </c>
      <c r="AR4" s="59" t="s">
        <v>173</v>
      </c>
      <c r="AS4" s="60" t="s">
        <v>174</v>
      </c>
      <c r="AT4" s="59" t="s">
        <v>175</v>
      </c>
    </row>
    <row r="5" ht="102" spans="1:46">
      <c r="A5" s="55">
        <v>3</v>
      </c>
      <c r="B5" s="56" t="s">
        <v>176</v>
      </c>
      <c r="C5" s="56" t="s">
        <v>177</v>
      </c>
      <c r="D5" s="56" t="s">
        <v>34</v>
      </c>
      <c r="E5" s="57">
        <v>171</v>
      </c>
      <c r="F5" s="57">
        <v>72</v>
      </c>
      <c r="G5" s="58">
        <f t="shared" si="0"/>
        <v>24.6229609110496</v>
      </c>
      <c r="H5" s="56" t="s">
        <v>178</v>
      </c>
      <c r="I5" s="56" t="s">
        <v>179</v>
      </c>
      <c r="J5" s="56" t="s">
        <v>120</v>
      </c>
      <c r="K5" s="56" t="s">
        <v>120</v>
      </c>
      <c r="L5" s="56" t="s">
        <v>120</v>
      </c>
      <c r="M5" s="56" t="s">
        <v>152</v>
      </c>
      <c r="N5" s="56" t="s">
        <v>120</v>
      </c>
      <c r="O5" s="56" t="s">
        <v>180</v>
      </c>
      <c r="P5" s="56" t="s">
        <v>120</v>
      </c>
      <c r="Q5" s="56" t="s">
        <v>154</v>
      </c>
      <c r="R5" s="56" t="s">
        <v>181</v>
      </c>
      <c r="S5" s="56" t="s">
        <v>182</v>
      </c>
      <c r="T5" s="56" t="s">
        <v>183</v>
      </c>
      <c r="U5" s="56" t="s">
        <v>184</v>
      </c>
      <c r="V5" s="56" t="s">
        <v>185</v>
      </c>
      <c r="W5" s="56" t="s">
        <v>186</v>
      </c>
      <c r="X5" s="56" t="s">
        <v>187</v>
      </c>
      <c r="Y5" s="56" t="s">
        <v>188</v>
      </c>
      <c r="Z5" s="56" t="s">
        <v>189</v>
      </c>
      <c r="AA5" s="56" t="s">
        <v>190</v>
      </c>
      <c r="AB5" s="56" t="s">
        <v>191</v>
      </c>
      <c r="AC5" s="56" t="s">
        <v>192</v>
      </c>
      <c r="AD5" s="56" t="s">
        <v>193</v>
      </c>
      <c r="AE5" s="56" t="s">
        <v>194</v>
      </c>
      <c r="AF5" s="56" t="s">
        <v>137</v>
      </c>
      <c r="AG5" s="56" t="s">
        <v>138</v>
      </c>
      <c r="AH5" s="56" t="s">
        <v>138</v>
      </c>
      <c r="AI5" s="56" t="s">
        <v>138</v>
      </c>
      <c r="AJ5" s="56" t="s">
        <v>195</v>
      </c>
      <c r="AK5" s="56" t="s">
        <v>196</v>
      </c>
      <c r="AL5" s="56" t="s">
        <v>197</v>
      </c>
      <c r="AM5" s="56" t="s">
        <v>198</v>
      </c>
      <c r="AN5" s="59" t="s">
        <v>199</v>
      </c>
      <c r="AO5" s="59" t="s">
        <v>200</v>
      </c>
      <c r="AP5" s="50"/>
      <c r="AQ5" s="59" t="s">
        <v>145</v>
      </c>
      <c r="AR5" s="50"/>
      <c r="AS5" s="60" t="s">
        <v>174</v>
      </c>
      <c r="AT5" s="59" t="s">
        <v>201</v>
      </c>
    </row>
    <row r="6" ht="165.75" spans="1:46">
      <c r="A6" s="55">
        <v>4</v>
      </c>
      <c r="B6" s="56" t="s">
        <v>202</v>
      </c>
      <c r="C6" s="56" t="s">
        <v>203</v>
      </c>
      <c r="D6" s="56" t="s">
        <v>34</v>
      </c>
      <c r="E6" s="57">
        <v>166</v>
      </c>
      <c r="F6" s="57">
        <v>65</v>
      </c>
      <c r="G6" s="58">
        <f t="shared" si="0"/>
        <v>23.5883292204964</v>
      </c>
      <c r="H6" s="56" t="s">
        <v>204</v>
      </c>
      <c r="I6" s="56" t="s">
        <v>179</v>
      </c>
      <c r="J6" s="56" t="s">
        <v>205</v>
      </c>
      <c r="K6" s="56" t="s">
        <v>120</v>
      </c>
      <c r="L6" s="56" t="s">
        <v>120</v>
      </c>
      <c r="M6" s="56" t="s">
        <v>120</v>
      </c>
      <c r="N6" s="56" t="s">
        <v>120</v>
      </c>
      <c r="O6" s="56" t="s">
        <v>121</v>
      </c>
      <c r="P6" s="56" t="s">
        <v>120</v>
      </c>
      <c r="Q6" s="56" t="s">
        <v>154</v>
      </c>
      <c r="R6" s="56" t="s">
        <v>206</v>
      </c>
      <c r="S6" s="56" t="s">
        <v>207</v>
      </c>
      <c r="T6" s="56" t="s">
        <v>208</v>
      </c>
      <c r="U6" s="56" t="s">
        <v>209</v>
      </c>
      <c r="V6" s="56" t="s">
        <v>210</v>
      </c>
      <c r="W6" s="56" t="s">
        <v>211</v>
      </c>
      <c r="X6" s="56" t="s">
        <v>212</v>
      </c>
      <c r="Y6" s="56" t="s">
        <v>213</v>
      </c>
      <c r="Z6" s="56" t="s">
        <v>214</v>
      </c>
      <c r="AA6" s="56" t="s">
        <v>215</v>
      </c>
      <c r="AB6" s="56" t="s">
        <v>216</v>
      </c>
      <c r="AC6" s="56" t="s">
        <v>217</v>
      </c>
      <c r="AD6" s="56" t="s">
        <v>218</v>
      </c>
      <c r="AE6" s="56" t="s">
        <v>219</v>
      </c>
      <c r="AF6" s="56" t="s">
        <v>137</v>
      </c>
      <c r="AG6" s="56" t="s">
        <v>138</v>
      </c>
      <c r="AH6" s="56" t="s">
        <v>138</v>
      </c>
      <c r="AI6" s="56" t="s">
        <v>138</v>
      </c>
      <c r="AJ6" s="56" t="s">
        <v>220</v>
      </c>
      <c r="AK6" s="56" t="s">
        <v>221</v>
      </c>
      <c r="AL6" s="56" t="s">
        <v>222</v>
      </c>
      <c r="AM6" s="56" t="s">
        <v>223</v>
      </c>
      <c r="AN6" s="59" t="s">
        <v>224</v>
      </c>
      <c r="AO6" s="59" t="s">
        <v>225</v>
      </c>
      <c r="AP6" s="50"/>
      <c r="AQ6" s="59" t="s">
        <v>145</v>
      </c>
      <c r="AR6" s="50"/>
      <c r="AS6" s="60" t="s">
        <v>174</v>
      </c>
      <c r="AT6" s="59" t="s">
        <v>226</v>
      </c>
    </row>
    <row r="7" ht="127.5" spans="1:46">
      <c r="A7" s="55">
        <v>5</v>
      </c>
      <c r="B7" s="56" t="s">
        <v>227</v>
      </c>
      <c r="C7" s="56" t="s">
        <v>228</v>
      </c>
      <c r="D7" s="56" t="s">
        <v>34</v>
      </c>
      <c r="E7" s="57">
        <v>171</v>
      </c>
      <c r="F7" s="57">
        <v>75</v>
      </c>
      <c r="G7" s="58">
        <f t="shared" si="0"/>
        <v>25.6489176156766</v>
      </c>
      <c r="H7" s="56" t="s">
        <v>229</v>
      </c>
      <c r="I7" s="56" t="s">
        <v>230</v>
      </c>
      <c r="J7" s="56" t="s">
        <v>120</v>
      </c>
      <c r="K7" s="56" t="s">
        <v>120</v>
      </c>
      <c r="L7" s="56" t="s">
        <v>120</v>
      </c>
      <c r="M7" s="56" t="s">
        <v>120</v>
      </c>
      <c r="N7" s="56" t="s">
        <v>231</v>
      </c>
      <c r="O7" s="56" t="s">
        <v>121</v>
      </c>
      <c r="P7" s="56" t="s">
        <v>120</v>
      </c>
      <c r="Q7" s="56" t="s">
        <v>154</v>
      </c>
      <c r="R7" s="56" t="s">
        <v>232</v>
      </c>
      <c r="S7" s="56" t="s">
        <v>233</v>
      </c>
      <c r="T7" s="56" t="s">
        <v>234</v>
      </c>
      <c r="U7" s="56" t="s">
        <v>235</v>
      </c>
      <c r="V7" s="56" t="s">
        <v>236</v>
      </c>
      <c r="W7" s="56" t="s">
        <v>237</v>
      </c>
      <c r="X7" s="56" t="s">
        <v>238</v>
      </c>
      <c r="Y7" s="56" t="s">
        <v>239</v>
      </c>
      <c r="Z7" s="56" t="s">
        <v>240</v>
      </c>
      <c r="AA7" s="56" t="s">
        <v>155</v>
      </c>
      <c r="AB7" s="56" t="s">
        <v>241</v>
      </c>
      <c r="AC7" s="56" t="s">
        <v>169</v>
      </c>
      <c r="AD7" s="56" t="s">
        <v>242</v>
      </c>
      <c r="AE7" s="56" t="s">
        <v>243</v>
      </c>
      <c r="AF7" s="56" t="s">
        <v>137</v>
      </c>
      <c r="AG7" s="56" t="s">
        <v>138</v>
      </c>
      <c r="AH7" s="56" t="s">
        <v>138</v>
      </c>
      <c r="AI7" s="56" t="s">
        <v>138</v>
      </c>
      <c r="AJ7" s="56" t="s">
        <v>244</v>
      </c>
      <c r="AK7" s="56" t="s">
        <v>245</v>
      </c>
      <c r="AL7" s="56" t="s">
        <v>246</v>
      </c>
      <c r="AM7" s="56" t="s">
        <v>247</v>
      </c>
      <c r="AN7" s="59" t="s">
        <v>170</v>
      </c>
      <c r="AO7" s="59" t="s">
        <v>248</v>
      </c>
      <c r="AP7" s="50"/>
      <c r="AQ7" s="59" t="s">
        <v>145</v>
      </c>
      <c r="AR7" s="50"/>
      <c r="AS7" s="60" t="s">
        <v>146</v>
      </c>
      <c r="AT7" s="59" t="s">
        <v>249</v>
      </c>
    </row>
    <row r="8" ht="153" spans="1:46">
      <c r="A8" s="55">
        <v>6</v>
      </c>
      <c r="B8" s="56" t="s">
        <v>250</v>
      </c>
      <c r="C8" s="56" t="s">
        <v>251</v>
      </c>
      <c r="D8" s="56" t="s">
        <v>35</v>
      </c>
      <c r="E8" s="57">
        <v>152</v>
      </c>
      <c r="F8" s="57">
        <v>50</v>
      </c>
      <c r="G8" s="58">
        <f t="shared" si="0"/>
        <v>21.6412742382271</v>
      </c>
      <c r="H8" s="56" t="s">
        <v>252</v>
      </c>
      <c r="I8" s="56" t="s">
        <v>253</v>
      </c>
      <c r="J8" s="56" t="s">
        <v>120</v>
      </c>
      <c r="K8" s="56" t="s">
        <v>120</v>
      </c>
      <c r="L8" s="56" t="s">
        <v>120</v>
      </c>
      <c r="M8" s="56" t="s">
        <v>152</v>
      </c>
      <c r="N8" s="56" t="s">
        <v>120</v>
      </c>
      <c r="O8" s="56" t="s">
        <v>120</v>
      </c>
      <c r="P8" s="56" t="s">
        <v>254</v>
      </c>
      <c r="Q8" s="56" t="s">
        <v>255</v>
      </c>
      <c r="R8" s="56" t="s">
        <v>256</v>
      </c>
      <c r="S8" s="56" t="s">
        <v>257</v>
      </c>
      <c r="T8" s="56" t="s">
        <v>258</v>
      </c>
      <c r="U8" s="56" t="s">
        <v>259</v>
      </c>
      <c r="V8" s="56" t="s">
        <v>260</v>
      </c>
      <c r="W8" s="56" t="s">
        <v>261</v>
      </c>
      <c r="X8" s="56" t="s">
        <v>262</v>
      </c>
      <c r="Y8" s="61"/>
      <c r="Z8" s="56" t="s">
        <v>263</v>
      </c>
      <c r="AA8" s="56" t="s">
        <v>264</v>
      </c>
      <c r="AB8" s="56" t="s">
        <v>265</v>
      </c>
      <c r="AC8" s="56" t="s">
        <v>266</v>
      </c>
      <c r="AD8" s="56" t="s">
        <v>267</v>
      </c>
      <c r="AE8" s="61"/>
      <c r="AF8" s="56" t="s">
        <v>137</v>
      </c>
      <c r="AG8" s="56" t="s">
        <v>138</v>
      </c>
      <c r="AH8" s="56" t="s">
        <v>138</v>
      </c>
      <c r="AI8" s="56" t="s">
        <v>138</v>
      </c>
      <c r="AJ8" s="56" t="s">
        <v>268</v>
      </c>
      <c r="AK8" s="61"/>
      <c r="AL8" s="56" t="s">
        <v>269</v>
      </c>
      <c r="AM8" s="56" t="s">
        <v>270</v>
      </c>
      <c r="AN8" s="59" t="s">
        <v>170</v>
      </c>
      <c r="AO8" s="59" t="s">
        <v>271</v>
      </c>
      <c r="AP8" s="59" t="s">
        <v>272</v>
      </c>
      <c r="AQ8" s="59" t="s">
        <v>145</v>
      </c>
      <c r="AR8" s="59" t="s">
        <v>173</v>
      </c>
      <c r="AS8" s="60" t="s">
        <v>146</v>
      </c>
      <c r="AT8" s="59" t="s">
        <v>273</v>
      </c>
    </row>
    <row r="9" ht="127.5" spans="1:46">
      <c r="A9" s="55">
        <v>7</v>
      </c>
      <c r="B9" s="56" t="s">
        <v>274</v>
      </c>
      <c r="C9" s="56" t="s">
        <v>275</v>
      </c>
      <c r="D9" s="56" t="s">
        <v>35</v>
      </c>
      <c r="E9" s="57">
        <v>153</v>
      </c>
      <c r="F9" s="57">
        <v>59</v>
      </c>
      <c r="G9" s="58">
        <f t="shared" si="0"/>
        <v>25.203981374685</v>
      </c>
      <c r="H9" s="56" t="s">
        <v>276</v>
      </c>
      <c r="I9" s="56" t="s">
        <v>119</v>
      </c>
      <c r="J9" s="56" t="s">
        <v>120</v>
      </c>
      <c r="K9" s="56" t="s">
        <v>120</v>
      </c>
      <c r="L9" s="56" t="s">
        <v>120</v>
      </c>
      <c r="M9" s="56" t="s">
        <v>277</v>
      </c>
      <c r="N9" s="56" t="s">
        <v>120</v>
      </c>
      <c r="O9" s="56" t="s">
        <v>120</v>
      </c>
      <c r="P9" s="56" t="s">
        <v>120</v>
      </c>
      <c r="Q9" s="56" t="s">
        <v>154</v>
      </c>
      <c r="R9" s="56" t="s">
        <v>278</v>
      </c>
      <c r="S9" s="56" t="s">
        <v>279</v>
      </c>
      <c r="T9" s="56" t="s">
        <v>280</v>
      </c>
      <c r="U9" s="56" t="s">
        <v>281</v>
      </c>
      <c r="V9" s="56" t="s">
        <v>282</v>
      </c>
      <c r="W9" s="56" t="s">
        <v>283</v>
      </c>
      <c r="X9" s="56" t="s">
        <v>284</v>
      </c>
      <c r="Y9" s="61"/>
      <c r="Z9" s="56" t="s">
        <v>285</v>
      </c>
      <c r="AA9" s="56" t="s">
        <v>286</v>
      </c>
      <c r="AB9" s="56" t="s">
        <v>287</v>
      </c>
      <c r="AC9" s="56" t="s">
        <v>288</v>
      </c>
      <c r="AD9" s="56" t="s">
        <v>289</v>
      </c>
      <c r="AE9" s="61"/>
      <c r="AF9" s="56" t="s">
        <v>137</v>
      </c>
      <c r="AG9" s="56" t="s">
        <v>138</v>
      </c>
      <c r="AH9" s="56" t="s">
        <v>138</v>
      </c>
      <c r="AI9" s="56" t="s">
        <v>138</v>
      </c>
      <c r="AJ9" s="56" t="s">
        <v>220</v>
      </c>
      <c r="AK9" s="61"/>
      <c r="AL9" s="56" t="s">
        <v>290</v>
      </c>
      <c r="AM9" s="56" t="s">
        <v>291</v>
      </c>
      <c r="AN9" s="59" t="s">
        <v>224</v>
      </c>
      <c r="AO9" s="59" t="s">
        <v>292</v>
      </c>
      <c r="AP9" s="59" t="s">
        <v>293</v>
      </c>
      <c r="AQ9" s="59" t="s">
        <v>145</v>
      </c>
      <c r="AR9" s="59" t="s">
        <v>173</v>
      </c>
      <c r="AS9" s="60" t="s">
        <v>174</v>
      </c>
      <c r="AT9" s="59" t="s">
        <v>294</v>
      </c>
    </row>
    <row r="10" ht="114.75" spans="1:46">
      <c r="A10" s="55">
        <v>8</v>
      </c>
      <c r="B10" s="56" t="s">
        <v>295</v>
      </c>
      <c r="C10" s="56" t="s">
        <v>296</v>
      </c>
      <c r="D10" s="56" t="s">
        <v>35</v>
      </c>
      <c r="E10" s="57">
        <v>160</v>
      </c>
      <c r="F10" s="57">
        <v>52</v>
      </c>
      <c r="G10" s="58">
        <f t="shared" si="0"/>
        <v>20.3125</v>
      </c>
      <c r="H10" s="56" t="s">
        <v>297</v>
      </c>
      <c r="I10" s="56" t="s">
        <v>298</v>
      </c>
      <c r="J10" s="56" t="s">
        <v>120</v>
      </c>
      <c r="K10" s="56" t="s">
        <v>120</v>
      </c>
      <c r="L10" s="56" t="s">
        <v>299</v>
      </c>
      <c r="M10" s="56" t="s">
        <v>300</v>
      </c>
      <c r="N10" s="56" t="s">
        <v>120</v>
      </c>
      <c r="O10" s="56" t="s">
        <v>120</v>
      </c>
      <c r="P10" s="56" t="s">
        <v>120</v>
      </c>
      <c r="Q10" s="56" t="s">
        <v>154</v>
      </c>
      <c r="R10" s="56" t="s">
        <v>301</v>
      </c>
      <c r="S10" s="56" t="s">
        <v>302</v>
      </c>
      <c r="T10" s="56" t="s">
        <v>303</v>
      </c>
      <c r="U10" s="56" t="s">
        <v>304</v>
      </c>
      <c r="V10" s="56" t="s">
        <v>305</v>
      </c>
      <c r="W10" s="56" t="s">
        <v>186</v>
      </c>
      <c r="X10" s="56" t="s">
        <v>306</v>
      </c>
      <c r="Y10" s="61"/>
      <c r="Z10" s="56" t="s">
        <v>307</v>
      </c>
      <c r="AA10" s="56" t="s">
        <v>220</v>
      </c>
      <c r="AB10" s="56" t="s">
        <v>308</v>
      </c>
      <c r="AC10" s="56" t="s">
        <v>309</v>
      </c>
      <c r="AD10" s="56" t="s">
        <v>310</v>
      </c>
      <c r="AE10" s="61"/>
      <c r="AF10" s="56" t="s">
        <v>137</v>
      </c>
      <c r="AG10" s="56" t="s">
        <v>138</v>
      </c>
      <c r="AH10" s="56" t="s">
        <v>138</v>
      </c>
      <c r="AI10" s="56" t="s">
        <v>138</v>
      </c>
      <c r="AJ10" s="56" t="s">
        <v>305</v>
      </c>
      <c r="AK10" s="61"/>
      <c r="AL10" s="56" t="s">
        <v>311</v>
      </c>
      <c r="AM10" s="56" t="s">
        <v>312</v>
      </c>
      <c r="AN10" s="59" t="s">
        <v>170</v>
      </c>
      <c r="AO10" s="59" t="s">
        <v>313</v>
      </c>
      <c r="AP10" s="59" t="s">
        <v>314</v>
      </c>
      <c r="AQ10" s="59" t="s">
        <v>145</v>
      </c>
      <c r="AR10" s="59" t="s">
        <v>315</v>
      </c>
      <c r="AS10" s="60" t="s">
        <v>174</v>
      </c>
      <c r="AT10" s="59" t="s">
        <v>316</v>
      </c>
    </row>
    <row r="11" ht="102" spans="1:46">
      <c r="A11" s="55">
        <v>9</v>
      </c>
      <c r="B11" s="56" t="s">
        <v>317</v>
      </c>
      <c r="C11" s="56" t="s">
        <v>318</v>
      </c>
      <c r="D11" s="56" t="s">
        <v>35</v>
      </c>
      <c r="E11" s="57">
        <v>156</v>
      </c>
      <c r="F11" s="57">
        <v>56</v>
      </c>
      <c r="G11" s="58">
        <f t="shared" si="0"/>
        <v>23.0111768573307</v>
      </c>
      <c r="H11" s="56" t="s">
        <v>319</v>
      </c>
      <c r="I11" s="56" t="s">
        <v>320</v>
      </c>
      <c r="J11" s="56" t="s">
        <v>120</v>
      </c>
      <c r="K11" s="56" t="s">
        <v>120</v>
      </c>
      <c r="L11" s="56" t="s">
        <v>120</v>
      </c>
      <c r="M11" s="56" t="s">
        <v>120</v>
      </c>
      <c r="N11" s="56" t="s">
        <v>120</v>
      </c>
      <c r="O11" s="56" t="s">
        <v>120</v>
      </c>
      <c r="P11" s="56" t="s">
        <v>120</v>
      </c>
      <c r="Q11" s="56" t="s">
        <v>122</v>
      </c>
      <c r="R11" s="56" t="s">
        <v>321</v>
      </c>
      <c r="S11" s="56" t="s">
        <v>322</v>
      </c>
      <c r="T11" s="56" t="s">
        <v>323</v>
      </c>
      <c r="U11" s="56" t="s">
        <v>324</v>
      </c>
      <c r="V11" s="56" t="s">
        <v>325</v>
      </c>
      <c r="W11" s="56" t="s">
        <v>326</v>
      </c>
      <c r="X11" s="56" t="s">
        <v>327</v>
      </c>
      <c r="Y11" s="61"/>
      <c r="Z11" s="56" t="s">
        <v>328</v>
      </c>
      <c r="AA11" s="56" t="s">
        <v>329</v>
      </c>
      <c r="AB11" s="56" t="s">
        <v>330</v>
      </c>
      <c r="AC11" s="56" t="s">
        <v>331</v>
      </c>
      <c r="AD11" s="56" t="s">
        <v>332</v>
      </c>
      <c r="AE11" s="61"/>
      <c r="AF11" s="56" t="s">
        <v>137</v>
      </c>
      <c r="AG11" s="56" t="s">
        <v>138</v>
      </c>
      <c r="AH11" s="56" t="s">
        <v>138</v>
      </c>
      <c r="AI11" s="56" t="s">
        <v>138</v>
      </c>
      <c r="AJ11" s="56" t="s">
        <v>210</v>
      </c>
      <c r="AK11" s="61"/>
      <c r="AL11" s="56" t="s">
        <v>282</v>
      </c>
      <c r="AM11" s="56" t="s">
        <v>333</v>
      </c>
      <c r="AN11" s="59" t="s">
        <v>334</v>
      </c>
      <c r="AO11" s="59" t="s">
        <v>335</v>
      </c>
      <c r="AP11" s="59" t="s">
        <v>314</v>
      </c>
      <c r="AQ11" s="59" t="s">
        <v>145</v>
      </c>
      <c r="AR11" s="59" t="s">
        <v>173</v>
      </c>
      <c r="AS11" s="60" t="s">
        <v>174</v>
      </c>
      <c r="AT11" s="59" t="s">
        <v>336</v>
      </c>
    </row>
    <row r="12" ht="165.75" spans="1:46">
      <c r="A12" s="55">
        <v>10</v>
      </c>
      <c r="B12" s="56" t="s">
        <v>337</v>
      </c>
      <c r="C12" s="56" t="s">
        <v>338</v>
      </c>
      <c r="D12" s="56" t="s">
        <v>35</v>
      </c>
      <c r="E12" s="57">
        <v>153</v>
      </c>
      <c r="F12" s="57">
        <v>51</v>
      </c>
      <c r="G12" s="58">
        <f t="shared" si="0"/>
        <v>21.7864923747277</v>
      </c>
      <c r="H12" s="56" t="s">
        <v>339</v>
      </c>
      <c r="I12" s="56" t="s">
        <v>253</v>
      </c>
      <c r="J12" s="56" t="s">
        <v>120</v>
      </c>
      <c r="K12" s="56" t="s">
        <v>340</v>
      </c>
      <c r="L12" s="56" t="s">
        <v>120</v>
      </c>
      <c r="M12" s="56" t="s">
        <v>300</v>
      </c>
      <c r="N12" s="56" t="s">
        <v>120</v>
      </c>
      <c r="O12" s="56" t="s">
        <v>121</v>
      </c>
      <c r="P12" s="56" t="s">
        <v>153</v>
      </c>
      <c r="Q12" s="56" t="s">
        <v>154</v>
      </c>
      <c r="R12" s="56" t="s">
        <v>278</v>
      </c>
      <c r="S12" s="56" t="s">
        <v>341</v>
      </c>
      <c r="T12" s="56" t="s">
        <v>342</v>
      </c>
      <c r="U12" s="56" t="s">
        <v>343</v>
      </c>
      <c r="V12" s="56" t="s">
        <v>344</v>
      </c>
      <c r="W12" s="56" t="s">
        <v>345</v>
      </c>
      <c r="X12" s="56" t="s">
        <v>321</v>
      </c>
      <c r="Y12" s="61"/>
      <c r="Z12" s="56" t="s">
        <v>346</v>
      </c>
      <c r="AA12" s="56" t="s">
        <v>347</v>
      </c>
      <c r="AB12" s="56" t="s">
        <v>348</v>
      </c>
      <c r="AC12" s="56" t="s">
        <v>349</v>
      </c>
      <c r="AD12" s="56" t="s">
        <v>125</v>
      </c>
      <c r="AE12" s="61"/>
      <c r="AF12" s="56" t="s">
        <v>137</v>
      </c>
      <c r="AG12" s="56" t="s">
        <v>138</v>
      </c>
      <c r="AH12" s="56" t="s">
        <v>138</v>
      </c>
      <c r="AI12" s="56" t="s">
        <v>138</v>
      </c>
      <c r="AJ12" s="56" t="s">
        <v>350</v>
      </c>
      <c r="AK12" s="61"/>
      <c r="AL12" s="56" t="s">
        <v>351</v>
      </c>
      <c r="AM12" s="56" t="s">
        <v>352</v>
      </c>
      <c r="AN12" s="59" t="s">
        <v>353</v>
      </c>
      <c r="AO12" s="59" t="s">
        <v>354</v>
      </c>
      <c r="AP12" s="59" t="s">
        <v>314</v>
      </c>
      <c r="AQ12" s="59" t="s">
        <v>145</v>
      </c>
      <c r="AR12" s="59" t="s">
        <v>173</v>
      </c>
      <c r="AS12" s="60" t="s">
        <v>174</v>
      </c>
      <c r="AT12" s="59" t="s">
        <v>355</v>
      </c>
    </row>
    <row r="13" ht="216.75" spans="1:46">
      <c r="A13" s="55">
        <v>11</v>
      </c>
      <c r="B13" s="56" t="s">
        <v>356</v>
      </c>
      <c r="C13" s="56" t="s">
        <v>357</v>
      </c>
      <c r="D13" s="56" t="s">
        <v>34</v>
      </c>
      <c r="E13" s="57">
        <v>175</v>
      </c>
      <c r="F13" s="57">
        <v>63</v>
      </c>
      <c r="G13" s="58">
        <f t="shared" si="0"/>
        <v>20.5714285714286</v>
      </c>
      <c r="H13" s="56" t="s">
        <v>358</v>
      </c>
      <c r="I13" s="56" t="s">
        <v>359</v>
      </c>
      <c r="J13" s="56" t="s">
        <v>360</v>
      </c>
      <c r="K13" s="56" t="s">
        <v>361</v>
      </c>
      <c r="L13" s="56" t="s">
        <v>120</v>
      </c>
      <c r="M13" s="56" t="s">
        <v>120</v>
      </c>
      <c r="N13" s="56" t="s">
        <v>231</v>
      </c>
      <c r="O13" s="56" t="s">
        <v>362</v>
      </c>
      <c r="P13" s="56" t="s">
        <v>120</v>
      </c>
      <c r="Q13" s="56" t="s">
        <v>154</v>
      </c>
      <c r="R13" s="56" t="s">
        <v>345</v>
      </c>
      <c r="S13" s="56" t="s">
        <v>363</v>
      </c>
      <c r="T13" s="56" t="s">
        <v>186</v>
      </c>
      <c r="U13" s="56" t="s">
        <v>364</v>
      </c>
      <c r="V13" s="56" t="s">
        <v>365</v>
      </c>
      <c r="W13" s="56" t="s">
        <v>366</v>
      </c>
      <c r="X13" s="56" t="s">
        <v>367</v>
      </c>
      <c r="Y13" s="56" t="s">
        <v>368</v>
      </c>
      <c r="Z13" s="56" t="s">
        <v>369</v>
      </c>
      <c r="AA13" s="56" t="s">
        <v>370</v>
      </c>
      <c r="AB13" s="56" t="s">
        <v>371</v>
      </c>
      <c r="AC13" s="56" t="s">
        <v>372</v>
      </c>
      <c r="AD13" s="56" t="s">
        <v>373</v>
      </c>
      <c r="AE13" s="56" t="s">
        <v>374</v>
      </c>
      <c r="AF13" s="56" t="s">
        <v>137</v>
      </c>
      <c r="AG13" s="56" t="s">
        <v>138</v>
      </c>
      <c r="AH13" s="56" t="s">
        <v>138</v>
      </c>
      <c r="AI13" s="56" t="s">
        <v>138</v>
      </c>
      <c r="AJ13" s="56" t="s">
        <v>375</v>
      </c>
      <c r="AK13" s="56" t="s">
        <v>376</v>
      </c>
      <c r="AL13" s="56" t="s">
        <v>377</v>
      </c>
      <c r="AM13" s="56" t="s">
        <v>378</v>
      </c>
      <c r="AN13" s="59" t="s">
        <v>170</v>
      </c>
      <c r="AO13" s="59" t="s">
        <v>379</v>
      </c>
      <c r="AP13" s="50"/>
      <c r="AQ13" s="59" t="s">
        <v>145</v>
      </c>
      <c r="AR13" s="50"/>
      <c r="AS13" s="60" t="s">
        <v>174</v>
      </c>
      <c r="AT13" s="59" t="s">
        <v>380</v>
      </c>
    </row>
    <row r="14" ht="178.5" spans="1:46">
      <c r="A14" s="55">
        <v>12</v>
      </c>
      <c r="B14" s="56" t="s">
        <v>381</v>
      </c>
      <c r="C14" s="56" t="s">
        <v>382</v>
      </c>
      <c r="D14" s="56" t="s">
        <v>35</v>
      </c>
      <c r="E14" s="57">
        <v>159</v>
      </c>
      <c r="F14" s="57">
        <v>52</v>
      </c>
      <c r="G14" s="58">
        <f t="shared" si="0"/>
        <v>20.5688066136624</v>
      </c>
      <c r="H14" s="56" t="s">
        <v>383</v>
      </c>
      <c r="I14" s="56" t="s">
        <v>384</v>
      </c>
      <c r="J14" s="56" t="s">
        <v>385</v>
      </c>
      <c r="K14" s="56" t="s">
        <v>120</v>
      </c>
      <c r="L14" s="56" t="s">
        <v>120</v>
      </c>
      <c r="M14" s="56" t="s">
        <v>152</v>
      </c>
      <c r="N14" s="56" t="s">
        <v>120</v>
      </c>
      <c r="O14" s="56" t="s">
        <v>121</v>
      </c>
      <c r="P14" s="56" t="s">
        <v>254</v>
      </c>
      <c r="Q14" s="56" t="s">
        <v>154</v>
      </c>
      <c r="R14" s="56" t="s">
        <v>284</v>
      </c>
      <c r="S14" s="56" t="s">
        <v>386</v>
      </c>
      <c r="T14" s="56" t="s">
        <v>387</v>
      </c>
      <c r="U14" s="56" t="s">
        <v>388</v>
      </c>
      <c r="V14" s="56" t="s">
        <v>389</v>
      </c>
      <c r="W14" s="56" t="s">
        <v>387</v>
      </c>
      <c r="X14" s="56" t="s">
        <v>390</v>
      </c>
      <c r="Y14" s="61"/>
      <c r="Z14" s="56" t="s">
        <v>391</v>
      </c>
      <c r="AA14" s="56" t="s">
        <v>392</v>
      </c>
      <c r="AB14" s="56" t="s">
        <v>393</v>
      </c>
      <c r="AC14" s="56" t="s">
        <v>394</v>
      </c>
      <c r="AD14" s="56" t="s">
        <v>395</v>
      </c>
      <c r="AE14" s="61"/>
      <c r="AF14" s="56" t="s">
        <v>137</v>
      </c>
      <c r="AG14" s="56" t="s">
        <v>138</v>
      </c>
      <c r="AH14" s="56" t="s">
        <v>138</v>
      </c>
      <c r="AI14" s="56" t="s">
        <v>138</v>
      </c>
      <c r="AJ14" s="56" t="s">
        <v>396</v>
      </c>
      <c r="AK14" s="61"/>
      <c r="AL14" s="56" t="s">
        <v>397</v>
      </c>
      <c r="AM14" s="56" t="s">
        <v>398</v>
      </c>
      <c r="AN14" s="59" t="s">
        <v>399</v>
      </c>
      <c r="AO14" s="59" t="s">
        <v>400</v>
      </c>
      <c r="AP14" s="59" t="s">
        <v>314</v>
      </c>
      <c r="AQ14" s="59" t="s">
        <v>145</v>
      </c>
      <c r="AR14" s="59" t="s">
        <v>315</v>
      </c>
      <c r="AS14" s="60" t="s">
        <v>146</v>
      </c>
      <c r="AT14" s="59" t="s">
        <v>401</v>
      </c>
    </row>
    <row r="15" ht="216.75" spans="1:46">
      <c r="A15" s="55">
        <v>13</v>
      </c>
      <c r="B15" s="56" t="s">
        <v>402</v>
      </c>
      <c r="C15" s="56" t="s">
        <v>403</v>
      </c>
      <c r="D15" s="56" t="s">
        <v>35</v>
      </c>
      <c r="E15" s="57">
        <v>153</v>
      </c>
      <c r="F15" s="57">
        <v>58</v>
      </c>
      <c r="G15" s="58">
        <f t="shared" si="0"/>
        <v>24.7767952496903</v>
      </c>
      <c r="H15" s="56" t="s">
        <v>404</v>
      </c>
      <c r="I15" s="56" t="s">
        <v>230</v>
      </c>
      <c r="J15" s="56" t="s">
        <v>120</v>
      </c>
      <c r="K15" s="56" t="s">
        <v>120</v>
      </c>
      <c r="L15" s="56" t="s">
        <v>120</v>
      </c>
      <c r="M15" s="56" t="s">
        <v>405</v>
      </c>
      <c r="N15" s="56" t="s">
        <v>120</v>
      </c>
      <c r="O15" s="56" t="s">
        <v>406</v>
      </c>
      <c r="P15" s="56" t="s">
        <v>120</v>
      </c>
      <c r="Q15" s="56" t="s">
        <v>154</v>
      </c>
      <c r="R15" s="56" t="s">
        <v>407</v>
      </c>
      <c r="S15" s="56" t="s">
        <v>408</v>
      </c>
      <c r="T15" s="56" t="s">
        <v>409</v>
      </c>
      <c r="U15" s="56" t="s">
        <v>410</v>
      </c>
      <c r="V15" s="56" t="s">
        <v>411</v>
      </c>
      <c r="W15" s="56" t="s">
        <v>412</v>
      </c>
      <c r="X15" s="56" t="s">
        <v>413</v>
      </c>
      <c r="Y15" s="61"/>
      <c r="Z15" s="56" t="s">
        <v>414</v>
      </c>
      <c r="AA15" s="56" t="s">
        <v>415</v>
      </c>
      <c r="AB15" s="56" t="s">
        <v>416</v>
      </c>
      <c r="AC15" s="56" t="s">
        <v>132</v>
      </c>
      <c r="AD15" s="56" t="s">
        <v>417</v>
      </c>
      <c r="AE15" s="61"/>
      <c r="AF15" s="56" t="s">
        <v>137</v>
      </c>
      <c r="AG15" s="56" t="s">
        <v>138</v>
      </c>
      <c r="AH15" s="56" t="s">
        <v>138</v>
      </c>
      <c r="AI15" s="56" t="s">
        <v>138</v>
      </c>
      <c r="AJ15" s="56" t="s">
        <v>418</v>
      </c>
      <c r="AK15" s="61"/>
      <c r="AL15" s="56" t="s">
        <v>415</v>
      </c>
      <c r="AM15" s="56" t="s">
        <v>419</v>
      </c>
      <c r="AN15" s="59" t="s">
        <v>420</v>
      </c>
      <c r="AO15" s="59" t="s">
        <v>421</v>
      </c>
      <c r="AP15" s="59" t="s">
        <v>422</v>
      </c>
      <c r="AQ15" s="59" t="s">
        <v>145</v>
      </c>
      <c r="AR15" s="59" t="s">
        <v>315</v>
      </c>
      <c r="AS15" s="60" t="s">
        <v>174</v>
      </c>
      <c r="AT15" s="59" t="s">
        <v>423</v>
      </c>
    </row>
    <row r="16" ht="127.5" spans="1:46">
      <c r="A16" s="55">
        <v>14</v>
      </c>
      <c r="B16" s="56" t="s">
        <v>424</v>
      </c>
      <c r="C16" s="56" t="s">
        <v>425</v>
      </c>
      <c r="D16" s="56" t="s">
        <v>34</v>
      </c>
      <c r="E16" s="57">
        <v>162</v>
      </c>
      <c r="F16" s="57">
        <v>60</v>
      </c>
      <c r="G16" s="58">
        <f t="shared" si="0"/>
        <v>22.8623685413809</v>
      </c>
      <c r="H16" s="56" t="s">
        <v>426</v>
      </c>
      <c r="I16" s="56" t="s">
        <v>384</v>
      </c>
      <c r="J16" s="56" t="s">
        <v>120</v>
      </c>
      <c r="K16" s="56" t="s">
        <v>427</v>
      </c>
      <c r="L16" s="56" t="s">
        <v>120</v>
      </c>
      <c r="M16" s="56" t="s">
        <v>120</v>
      </c>
      <c r="N16" s="56" t="s">
        <v>120</v>
      </c>
      <c r="O16" s="56" t="s">
        <v>121</v>
      </c>
      <c r="P16" s="56" t="s">
        <v>120</v>
      </c>
      <c r="Q16" s="56" t="s">
        <v>154</v>
      </c>
      <c r="R16" s="56" t="s">
        <v>395</v>
      </c>
      <c r="S16" s="56" t="s">
        <v>428</v>
      </c>
      <c r="T16" s="56" t="s">
        <v>429</v>
      </c>
      <c r="U16" s="56" t="s">
        <v>430</v>
      </c>
      <c r="V16" s="56" t="s">
        <v>397</v>
      </c>
      <c r="W16" s="56" t="s">
        <v>431</v>
      </c>
      <c r="X16" s="56" t="s">
        <v>198</v>
      </c>
      <c r="Y16" s="56" t="s">
        <v>432</v>
      </c>
      <c r="Z16" s="56" t="s">
        <v>433</v>
      </c>
      <c r="AA16" s="56" t="s">
        <v>434</v>
      </c>
      <c r="AB16" s="56" t="s">
        <v>435</v>
      </c>
      <c r="AC16" s="56" t="s">
        <v>436</v>
      </c>
      <c r="AD16" s="56" t="s">
        <v>437</v>
      </c>
      <c r="AE16" s="56" t="s">
        <v>438</v>
      </c>
      <c r="AF16" s="56" t="s">
        <v>137</v>
      </c>
      <c r="AG16" s="56" t="s">
        <v>138</v>
      </c>
      <c r="AH16" s="56" t="s">
        <v>439</v>
      </c>
      <c r="AI16" s="56" t="s">
        <v>138</v>
      </c>
      <c r="AJ16" s="56" t="s">
        <v>190</v>
      </c>
      <c r="AK16" s="56" t="s">
        <v>372</v>
      </c>
      <c r="AL16" s="56" t="s">
        <v>159</v>
      </c>
      <c r="AM16" s="56" t="s">
        <v>440</v>
      </c>
      <c r="AN16" s="59" t="s">
        <v>441</v>
      </c>
      <c r="AO16" s="59" t="s">
        <v>442</v>
      </c>
      <c r="AP16" s="50"/>
      <c r="AQ16" s="59" t="s">
        <v>145</v>
      </c>
      <c r="AR16" s="50"/>
      <c r="AS16" s="60" t="s">
        <v>174</v>
      </c>
      <c r="AT16" s="59" t="s">
        <v>443</v>
      </c>
    </row>
    <row r="17" ht="216.75" spans="1:46">
      <c r="A17" s="55">
        <v>15</v>
      </c>
      <c r="B17" s="56" t="s">
        <v>444</v>
      </c>
      <c r="C17" s="56" t="s">
        <v>445</v>
      </c>
      <c r="D17" s="56" t="s">
        <v>35</v>
      </c>
      <c r="E17" s="57">
        <v>148</v>
      </c>
      <c r="F17" s="57">
        <v>48</v>
      </c>
      <c r="G17" s="58">
        <f t="shared" si="0"/>
        <v>21.9138056975895</v>
      </c>
      <c r="H17" s="56" t="s">
        <v>446</v>
      </c>
      <c r="I17" s="56" t="s">
        <v>447</v>
      </c>
      <c r="J17" s="56" t="s">
        <v>448</v>
      </c>
      <c r="K17" s="56" t="s">
        <v>120</v>
      </c>
      <c r="L17" s="56" t="s">
        <v>449</v>
      </c>
      <c r="M17" s="56" t="s">
        <v>120</v>
      </c>
      <c r="N17" s="56" t="s">
        <v>120</v>
      </c>
      <c r="O17" s="56" t="s">
        <v>120</v>
      </c>
      <c r="P17" s="56" t="s">
        <v>254</v>
      </c>
      <c r="Q17" s="56" t="s">
        <v>450</v>
      </c>
      <c r="R17" s="56" t="s">
        <v>451</v>
      </c>
      <c r="S17" s="56" t="s">
        <v>452</v>
      </c>
      <c r="T17" s="56" t="s">
        <v>453</v>
      </c>
      <c r="U17" s="56" t="s">
        <v>454</v>
      </c>
      <c r="V17" s="56" t="s">
        <v>455</v>
      </c>
      <c r="W17" s="56" t="s">
        <v>456</v>
      </c>
      <c r="X17" s="56" t="s">
        <v>345</v>
      </c>
      <c r="Y17" s="61"/>
      <c r="Z17" s="56" t="s">
        <v>457</v>
      </c>
      <c r="AA17" s="56" t="s">
        <v>411</v>
      </c>
      <c r="AB17" s="56" t="s">
        <v>458</v>
      </c>
      <c r="AC17" s="56" t="s">
        <v>459</v>
      </c>
      <c r="AD17" s="56" t="s">
        <v>431</v>
      </c>
      <c r="AE17" s="61"/>
      <c r="AF17" s="56" t="s">
        <v>137</v>
      </c>
      <c r="AG17" s="56" t="s">
        <v>138</v>
      </c>
      <c r="AH17" s="56" t="s">
        <v>138</v>
      </c>
      <c r="AI17" s="56" t="s">
        <v>138</v>
      </c>
      <c r="AJ17" s="56" t="s">
        <v>460</v>
      </c>
      <c r="AK17" s="61"/>
      <c r="AL17" s="56" t="s">
        <v>461</v>
      </c>
      <c r="AM17" s="56" t="s">
        <v>462</v>
      </c>
      <c r="AN17" s="59" t="s">
        <v>170</v>
      </c>
      <c r="AO17" s="59" t="s">
        <v>463</v>
      </c>
      <c r="AP17" s="59" t="s">
        <v>464</v>
      </c>
      <c r="AQ17" s="59" t="s">
        <v>145</v>
      </c>
      <c r="AR17" s="59" t="s">
        <v>315</v>
      </c>
      <c r="AS17" s="60" t="s">
        <v>146</v>
      </c>
      <c r="AT17" s="59" t="s">
        <v>465</v>
      </c>
    </row>
    <row r="18" ht="153" spans="1:46">
      <c r="A18" s="55">
        <v>16</v>
      </c>
      <c r="B18" s="56" t="s">
        <v>466</v>
      </c>
      <c r="C18" s="56" t="s">
        <v>467</v>
      </c>
      <c r="D18" s="56" t="s">
        <v>34</v>
      </c>
      <c r="E18" s="57">
        <v>160</v>
      </c>
      <c r="F18" s="57">
        <v>68</v>
      </c>
      <c r="G18" s="58">
        <f t="shared" si="0"/>
        <v>26.5625</v>
      </c>
      <c r="H18" s="56" t="s">
        <v>468</v>
      </c>
      <c r="I18" s="56" t="s">
        <v>469</v>
      </c>
      <c r="J18" s="56" t="s">
        <v>120</v>
      </c>
      <c r="K18" s="56" t="s">
        <v>470</v>
      </c>
      <c r="L18" s="56" t="s">
        <v>120</v>
      </c>
      <c r="M18" s="56" t="s">
        <v>120</v>
      </c>
      <c r="N18" s="56" t="s">
        <v>120</v>
      </c>
      <c r="O18" s="56" t="s">
        <v>121</v>
      </c>
      <c r="P18" s="56" t="s">
        <v>120</v>
      </c>
      <c r="Q18" s="56" t="s">
        <v>450</v>
      </c>
      <c r="R18" s="56" t="s">
        <v>390</v>
      </c>
      <c r="S18" s="56" t="s">
        <v>471</v>
      </c>
      <c r="T18" s="56" t="s">
        <v>472</v>
      </c>
      <c r="U18" s="56" t="s">
        <v>473</v>
      </c>
      <c r="V18" s="56" t="s">
        <v>474</v>
      </c>
      <c r="W18" s="56" t="s">
        <v>475</v>
      </c>
      <c r="X18" s="56" t="s">
        <v>476</v>
      </c>
      <c r="Y18" s="56" t="s">
        <v>477</v>
      </c>
      <c r="Z18" s="56" t="s">
        <v>478</v>
      </c>
      <c r="AA18" s="56" t="s">
        <v>195</v>
      </c>
      <c r="AB18" s="56" t="s">
        <v>479</v>
      </c>
      <c r="AC18" s="56" t="s">
        <v>480</v>
      </c>
      <c r="AD18" s="56" t="s">
        <v>481</v>
      </c>
      <c r="AE18" s="56" t="s">
        <v>482</v>
      </c>
      <c r="AF18" s="56" t="s">
        <v>137</v>
      </c>
      <c r="AG18" s="56" t="s">
        <v>138</v>
      </c>
      <c r="AH18" s="56" t="s">
        <v>138</v>
      </c>
      <c r="AI18" s="56" t="s">
        <v>138</v>
      </c>
      <c r="AJ18" s="56" t="s">
        <v>483</v>
      </c>
      <c r="AK18" s="56" t="s">
        <v>484</v>
      </c>
      <c r="AL18" s="56" t="s">
        <v>485</v>
      </c>
      <c r="AM18" s="56" t="s">
        <v>267</v>
      </c>
      <c r="AN18" s="59" t="s">
        <v>170</v>
      </c>
      <c r="AO18" s="59" t="s">
        <v>486</v>
      </c>
      <c r="AP18" s="50"/>
      <c r="AQ18" s="59" t="s">
        <v>145</v>
      </c>
      <c r="AR18" s="50"/>
      <c r="AS18" s="60" t="s">
        <v>146</v>
      </c>
      <c r="AT18" s="59" t="s">
        <v>487</v>
      </c>
    </row>
    <row r="19" ht="191.25" spans="1:46">
      <c r="A19" s="55">
        <v>17</v>
      </c>
      <c r="B19" s="56" t="s">
        <v>488</v>
      </c>
      <c r="C19" s="56" t="s">
        <v>489</v>
      </c>
      <c r="D19" s="56" t="s">
        <v>35</v>
      </c>
      <c r="E19" s="57">
        <v>151</v>
      </c>
      <c r="F19" s="57">
        <v>53</v>
      </c>
      <c r="G19" s="58">
        <f t="shared" si="0"/>
        <v>23.2445945353274</v>
      </c>
      <c r="H19" s="56" t="s">
        <v>490</v>
      </c>
      <c r="I19" s="56" t="s">
        <v>298</v>
      </c>
      <c r="J19" s="56" t="s">
        <v>120</v>
      </c>
      <c r="K19" s="56" t="s">
        <v>120</v>
      </c>
      <c r="L19" s="56" t="s">
        <v>120</v>
      </c>
      <c r="M19" s="56" t="s">
        <v>300</v>
      </c>
      <c r="N19" s="56" t="s">
        <v>120</v>
      </c>
      <c r="O19" s="56" t="s">
        <v>121</v>
      </c>
      <c r="P19" s="56" t="s">
        <v>120</v>
      </c>
      <c r="Q19" s="56" t="s">
        <v>255</v>
      </c>
      <c r="R19" s="56" t="s">
        <v>267</v>
      </c>
      <c r="S19" s="56" t="s">
        <v>491</v>
      </c>
      <c r="T19" s="56" t="s">
        <v>492</v>
      </c>
      <c r="U19" s="56" t="s">
        <v>493</v>
      </c>
      <c r="V19" s="56" t="s">
        <v>210</v>
      </c>
      <c r="W19" s="56" t="s">
        <v>494</v>
      </c>
      <c r="X19" s="56" t="s">
        <v>495</v>
      </c>
      <c r="Y19" s="61"/>
      <c r="Z19" s="56" t="s">
        <v>496</v>
      </c>
      <c r="AA19" s="56" t="s">
        <v>497</v>
      </c>
      <c r="AB19" s="56" t="s">
        <v>498</v>
      </c>
      <c r="AC19" s="56" t="s">
        <v>499</v>
      </c>
      <c r="AD19" s="56" t="s">
        <v>500</v>
      </c>
      <c r="AE19" s="61"/>
      <c r="AF19" s="56" t="s">
        <v>137</v>
      </c>
      <c r="AG19" s="56" t="s">
        <v>138</v>
      </c>
      <c r="AH19" s="56" t="s">
        <v>501</v>
      </c>
      <c r="AI19" s="56" t="s">
        <v>138</v>
      </c>
      <c r="AJ19" s="56" t="s">
        <v>502</v>
      </c>
      <c r="AK19" s="61"/>
      <c r="AL19" s="56" t="s">
        <v>503</v>
      </c>
      <c r="AM19" s="56" t="s">
        <v>462</v>
      </c>
      <c r="AN19" s="59" t="s">
        <v>504</v>
      </c>
      <c r="AO19" s="59" t="s">
        <v>354</v>
      </c>
      <c r="AP19" s="59" t="s">
        <v>314</v>
      </c>
      <c r="AQ19" s="59" t="s">
        <v>145</v>
      </c>
      <c r="AR19" s="59" t="s">
        <v>505</v>
      </c>
      <c r="AS19" s="60" t="s">
        <v>174</v>
      </c>
      <c r="AT19" s="59" t="s">
        <v>506</v>
      </c>
    </row>
    <row r="20" ht="306" spans="1:46">
      <c r="A20" s="55">
        <v>18</v>
      </c>
      <c r="B20" s="56" t="s">
        <v>507</v>
      </c>
      <c r="C20" s="56" t="s">
        <v>508</v>
      </c>
      <c r="D20" s="56" t="s">
        <v>35</v>
      </c>
      <c r="E20" s="57">
        <v>152</v>
      </c>
      <c r="F20" s="57">
        <v>57</v>
      </c>
      <c r="G20" s="58">
        <f t="shared" si="0"/>
        <v>24.6710526315789</v>
      </c>
      <c r="H20" s="56" t="s">
        <v>509</v>
      </c>
      <c r="I20" s="56" t="s">
        <v>253</v>
      </c>
      <c r="J20" s="56" t="s">
        <v>120</v>
      </c>
      <c r="K20" s="56" t="s">
        <v>120</v>
      </c>
      <c r="L20" s="56" t="s">
        <v>120</v>
      </c>
      <c r="M20" s="56" t="s">
        <v>405</v>
      </c>
      <c r="N20" s="56" t="s">
        <v>510</v>
      </c>
      <c r="O20" s="56" t="s">
        <v>511</v>
      </c>
      <c r="P20" s="56" t="s">
        <v>153</v>
      </c>
      <c r="Q20" s="56" t="s">
        <v>122</v>
      </c>
      <c r="R20" s="56" t="s">
        <v>512</v>
      </c>
      <c r="S20" s="56" t="s">
        <v>513</v>
      </c>
      <c r="T20" s="56" t="s">
        <v>514</v>
      </c>
      <c r="U20" s="56" t="s">
        <v>515</v>
      </c>
      <c r="V20" s="56" t="s">
        <v>305</v>
      </c>
      <c r="W20" s="56" t="s">
        <v>284</v>
      </c>
      <c r="X20" s="56" t="s">
        <v>516</v>
      </c>
      <c r="Y20" s="61"/>
      <c r="Z20" s="56" t="s">
        <v>517</v>
      </c>
      <c r="AA20" s="56" t="s">
        <v>518</v>
      </c>
      <c r="AB20" s="56" t="s">
        <v>519</v>
      </c>
      <c r="AC20" s="56" t="s">
        <v>520</v>
      </c>
      <c r="AD20" s="56" t="s">
        <v>181</v>
      </c>
      <c r="AE20" s="61"/>
      <c r="AF20" s="56" t="s">
        <v>137</v>
      </c>
      <c r="AG20" s="56" t="s">
        <v>138</v>
      </c>
      <c r="AH20" s="56" t="s">
        <v>501</v>
      </c>
      <c r="AI20" s="56" t="s">
        <v>138</v>
      </c>
      <c r="AJ20" s="56" t="s">
        <v>325</v>
      </c>
      <c r="AK20" s="61"/>
      <c r="AL20" s="56" t="s">
        <v>502</v>
      </c>
      <c r="AM20" s="56" t="s">
        <v>352</v>
      </c>
      <c r="AN20" s="59" t="s">
        <v>521</v>
      </c>
      <c r="AO20" s="59" t="s">
        <v>522</v>
      </c>
      <c r="AP20" s="59" t="s">
        <v>523</v>
      </c>
      <c r="AQ20" s="59" t="s">
        <v>524</v>
      </c>
      <c r="AR20" s="59" t="s">
        <v>173</v>
      </c>
      <c r="AS20" s="60" t="s">
        <v>174</v>
      </c>
      <c r="AT20" s="59" t="s">
        <v>525</v>
      </c>
    </row>
    <row r="21" ht="242.25" spans="1:46">
      <c r="A21" s="55">
        <v>19</v>
      </c>
      <c r="B21" s="56" t="s">
        <v>526</v>
      </c>
      <c r="C21" s="56" t="s">
        <v>527</v>
      </c>
      <c r="D21" s="56" t="s">
        <v>34</v>
      </c>
      <c r="E21" s="57">
        <v>162</v>
      </c>
      <c r="F21" s="57">
        <v>60</v>
      </c>
      <c r="G21" s="58">
        <f t="shared" si="0"/>
        <v>22.8623685413809</v>
      </c>
      <c r="H21" s="56" t="s">
        <v>528</v>
      </c>
      <c r="I21" s="56" t="s">
        <v>529</v>
      </c>
      <c r="J21" s="56" t="s">
        <v>205</v>
      </c>
      <c r="K21" s="56" t="s">
        <v>120</v>
      </c>
      <c r="L21" s="56" t="s">
        <v>120</v>
      </c>
      <c r="M21" s="56" t="s">
        <v>300</v>
      </c>
      <c r="N21" s="56" t="s">
        <v>120</v>
      </c>
      <c r="O21" s="56" t="s">
        <v>530</v>
      </c>
      <c r="P21" s="56" t="s">
        <v>120</v>
      </c>
      <c r="Q21" s="56" t="s">
        <v>154</v>
      </c>
      <c r="R21" s="56" t="s">
        <v>531</v>
      </c>
      <c r="S21" s="56" t="s">
        <v>532</v>
      </c>
      <c r="T21" s="56" t="s">
        <v>533</v>
      </c>
      <c r="U21" s="56" t="s">
        <v>534</v>
      </c>
      <c r="V21" s="56" t="s">
        <v>220</v>
      </c>
      <c r="W21" s="56" t="s">
        <v>535</v>
      </c>
      <c r="X21" s="56" t="s">
        <v>536</v>
      </c>
      <c r="Y21" s="56" t="s">
        <v>537</v>
      </c>
      <c r="Z21" s="56" t="s">
        <v>538</v>
      </c>
      <c r="AA21" s="56" t="s">
        <v>539</v>
      </c>
      <c r="AB21" s="56" t="s">
        <v>540</v>
      </c>
      <c r="AC21" s="56" t="s">
        <v>541</v>
      </c>
      <c r="AD21" s="56" t="s">
        <v>542</v>
      </c>
      <c r="AE21" s="56" t="s">
        <v>543</v>
      </c>
      <c r="AF21" s="56" t="s">
        <v>137</v>
      </c>
      <c r="AG21" s="56" t="s">
        <v>138</v>
      </c>
      <c r="AH21" s="56" t="s">
        <v>138</v>
      </c>
      <c r="AI21" s="56" t="s">
        <v>138</v>
      </c>
      <c r="AJ21" s="56" t="s">
        <v>185</v>
      </c>
      <c r="AK21" s="56" t="s">
        <v>544</v>
      </c>
      <c r="AL21" s="56" t="s">
        <v>311</v>
      </c>
      <c r="AM21" s="56" t="s">
        <v>545</v>
      </c>
      <c r="AN21" s="59" t="s">
        <v>546</v>
      </c>
      <c r="AO21" s="59" t="s">
        <v>547</v>
      </c>
      <c r="AP21" s="50"/>
      <c r="AQ21" s="59" t="s">
        <v>548</v>
      </c>
      <c r="AR21" s="50"/>
      <c r="AS21" s="60" t="s">
        <v>146</v>
      </c>
      <c r="AT21" s="59" t="s">
        <v>549</v>
      </c>
    </row>
    <row r="22" ht="165.75" spans="1:46">
      <c r="A22" s="55">
        <v>20</v>
      </c>
      <c r="B22" s="56" t="s">
        <v>550</v>
      </c>
      <c r="C22" s="56" t="s">
        <v>551</v>
      </c>
      <c r="D22" s="56" t="s">
        <v>35</v>
      </c>
      <c r="E22" s="57">
        <v>153</v>
      </c>
      <c r="F22" s="57">
        <v>51</v>
      </c>
      <c r="G22" s="58">
        <f t="shared" si="0"/>
        <v>21.7864923747277</v>
      </c>
      <c r="H22" s="56" t="s">
        <v>339</v>
      </c>
      <c r="I22" s="56" t="s">
        <v>552</v>
      </c>
      <c r="J22" s="56" t="s">
        <v>120</v>
      </c>
      <c r="K22" s="56" t="s">
        <v>340</v>
      </c>
      <c r="L22" s="56" t="s">
        <v>120</v>
      </c>
      <c r="M22" s="56" t="s">
        <v>300</v>
      </c>
      <c r="N22" s="56" t="s">
        <v>120</v>
      </c>
      <c r="O22" s="56" t="s">
        <v>121</v>
      </c>
      <c r="P22" s="56" t="s">
        <v>153</v>
      </c>
      <c r="Q22" s="56" t="s">
        <v>450</v>
      </c>
      <c r="R22" s="56" t="s">
        <v>128</v>
      </c>
      <c r="S22" s="56" t="s">
        <v>553</v>
      </c>
      <c r="T22" s="56" t="s">
        <v>554</v>
      </c>
      <c r="U22" s="56" t="s">
        <v>555</v>
      </c>
      <c r="V22" s="56" t="s">
        <v>556</v>
      </c>
      <c r="W22" s="56" t="s">
        <v>557</v>
      </c>
      <c r="X22" s="56" t="s">
        <v>476</v>
      </c>
      <c r="Y22" s="61"/>
      <c r="Z22" s="56" t="s">
        <v>285</v>
      </c>
      <c r="AA22" s="56" t="s">
        <v>558</v>
      </c>
      <c r="AB22" s="56" t="s">
        <v>559</v>
      </c>
      <c r="AC22" s="56" t="s">
        <v>560</v>
      </c>
      <c r="AD22" s="56" t="s">
        <v>561</v>
      </c>
      <c r="AE22" s="61"/>
      <c r="AF22" s="56" t="s">
        <v>173</v>
      </c>
      <c r="AG22" s="56" t="s">
        <v>173</v>
      </c>
      <c r="AH22" s="56" t="s">
        <v>173</v>
      </c>
      <c r="AI22" s="56" t="s">
        <v>173</v>
      </c>
      <c r="AJ22" s="56" t="s">
        <v>351</v>
      </c>
      <c r="AK22" s="61"/>
      <c r="AL22" s="56" t="s">
        <v>562</v>
      </c>
      <c r="AM22" s="56" t="s">
        <v>563</v>
      </c>
      <c r="AN22" s="59" t="s">
        <v>564</v>
      </c>
      <c r="AO22" s="59" t="s">
        <v>335</v>
      </c>
      <c r="AP22" s="59" t="s">
        <v>565</v>
      </c>
      <c r="AQ22" s="59" t="s">
        <v>145</v>
      </c>
      <c r="AR22" s="59" t="s">
        <v>173</v>
      </c>
      <c r="AS22" s="60" t="s">
        <v>174</v>
      </c>
      <c r="AT22" s="59" t="s">
        <v>566</v>
      </c>
    </row>
    <row r="23" ht="153" spans="1:46">
      <c r="A23" s="55">
        <v>21</v>
      </c>
      <c r="B23" s="56" t="s">
        <v>567</v>
      </c>
      <c r="C23" s="56" t="s">
        <v>568</v>
      </c>
      <c r="D23" s="56" t="s">
        <v>35</v>
      </c>
      <c r="E23" s="57">
        <v>155</v>
      </c>
      <c r="F23" s="57">
        <v>54</v>
      </c>
      <c r="G23" s="58">
        <f t="shared" si="0"/>
        <v>22.4765868886576</v>
      </c>
      <c r="H23" s="56" t="s">
        <v>569</v>
      </c>
      <c r="I23" s="56" t="s">
        <v>570</v>
      </c>
      <c r="J23" s="56" t="s">
        <v>120</v>
      </c>
      <c r="K23" s="56" t="s">
        <v>120</v>
      </c>
      <c r="L23" s="56" t="s">
        <v>120</v>
      </c>
      <c r="M23" s="56" t="s">
        <v>152</v>
      </c>
      <c r="N23" s="56" t="s">
        <v>120</v>
      </c>
      <c r="O23" s="56" t="s">
        <v>121</v>
      </c>
      <c r="P23" s="56" t="s">
        <v>254</v>
      </c>
      <c r="Q23" s="56" t="s">
        <v>122</v>
      </c>
      <c r="R23" s="56" t="s">
        <v>571</v>
      </c>
      <c r="S23" s="56" t="s">
        <v>257</v>
      </c>
      <c r="T23" s="56" t="s">
        <v>572</v>
      </c>
      <c r="U23" s="56" t="s">
        <v>573</v>
      </c>
      <c r="V23" s="56" t="s">
        <v>344</v>
      </c>
      <c r="W23" s="56" t="s">
        <v>436</v>
      </c>
      <c r="X23" s="56" t="s">
        <v>574</v>
      </c>
      <c r="Y23" s="61"/>
      <c r="Z23" s="56" t="s">
        <v>575</v>
      </c>
      <c r="AA23" s="56" t="s">
        <v>576</v>
      </c>
      <c r="AB23" s="56" t="s">
        <v>577</v>
      </c>
      <c r="AC23" s="56" t="s">
        <v>578</v>
      </c>
      <c r="AD23" s="56" t="s">
        <v>579</v>
      </c>
      <c r="AE23" s="61"/>
      <c r="AF23" s="56" t="s">
        <v>137</v>
      </c>
      <c r="AG23" s="56" t="s">
        <v>138</v>
      </c>
      <c r="AH23" s="56" t="s">
        <v>138</v>
      </c>
      <c r="AI23" s="56" t="s">
        <v>138</v>
      </c>
      <c r="AJ23" s="56" t="s">
        <v>163</v>
      </c>
      <c r="AK23" s="61"/>
      <c r="AL23" s="56" t="s">
        <v>580</v>
      </c>
      <c r="AM23" s="56" t="s">
        <v>367</v>
      </c>
      <c r="AN23" s="59" t="s">
        <v>170</v>
      </c>
      <c r="AO23" s="59" t="s">
        <v>335</v>
      </c>
      <c r="AP23" s="59" t="s">
        <v>581</v>
      </c>
      <c r="AQ23" s="59" t="s">
        <v>582</v>
      </c>
      <c r="AR23" s="59" t="s">
        <v>173</v>
      </c>
      <c r="AS23" s="60" t="s">
        <v>146</v>
      </c>
      <c r="AT23" s="59" t="s">
        <v>583</v>
      </c>
    </row>
    <row r="24" ht="280.5" spans="1:46">
      <c r="A24" s="55">
        <v>22</v>
      </c>
      <c r="B24" s="56" t="s">
        <v>584</v>
      </c>
      <c r="C24" s="56" t="s">
        <v>585</v>
      </c>
      <c r="D24" s="56" t="s">
        <v>35</v>
      </c>
      <c r="E24" s="57">
        <v>161</v>
      </c>
      <c r="F24" s="57">
        <v>53</v>
      </c>
      <c r="G24" s="58">
        <f t="shared" si="0"/>
        <v>20.4467420238417</v>
      </c>
      <c r="H24" s="56" t="s">
        <v>586</v>
      </c>
      <c r="I24" s="56" t="s">
        <v>587</v>
      </c>
      <c r="J24" s="56" t="s">
        <v>588</v>
      </c>
      <c r="K24" s="56" t="s">
        <v>120</v>
      </c>
      <c r="L24" s="56" t="s">
        <v>120</v>
      </c>
      <c r="M24" s="56" t="s">
        <v>120</v>
      </c>
      <c r="N24" s="56" t="s">
        <v>120</v>
      </c>
      <c r="O24" s="56" t="s">
        <v>589</v>
      </c>
      <c r="P24" s="56" t="s">
        <v>120</v>
      </c>
      <c r="Q24" s="56" t="s">
        <v>122</v>
      </c>
      <c r="R24" s="56" t="s">
        <v>590</v>
      </c>
      <c r="S24" s="56" t="s">
        <v>591</v>
      </c>
      <c r="T24" s="56" t="s">
        <v>592</v>
      </c>
      <c r="U24" s="56" t="s">
        <v>593</v>
      </c>
      <c r="V24" s="56" t="s">
        <v>594</v>
      </c>
      <c r="W24" s="56" t="s">
        <v>595</v>
      </c>
      <c r="X24" s="56" t="s">
        <v>596</v>
      </c>
      <c r="Y24" s="61"/>
      <c r="Z24" s="56" t="s">
        <v>597</v>
      </c>
      <c r="AA24" s="56" t="s">
        <v>598</v>
      </c>
      <c r="AB24" s="56" t="s">
        <v>599</v>
      </c>
      <c r="AC24" s="56" t="s">
        <v>600</v>
      </c>
      <c r="AD24" s="56" t="s">
        <v>601</v>
      </c>
      <c r="AE24" s="61"/>
      <c r="AF24" s="56" t="s">
        <v>137</v>
      </c>
      <c r="AG24" s="56" t="s">
        <v>138</v>
      </c>
      <c r="AH24" s="56" t="s">
        <v>501</v>
      </c>
      <c r="AI24" s="56" t="s">
        <v>138</v>
      </c>
      <c r="AJ24" s="56" t="s">
        <v>602</v>
      </c>
      <c r="AK24" s="61"/>
      <c r="AL24" s="56" t="s">
        <v>603</v>
      </c>
      <c r="AM24" s="56" t="s">
        <v>536</v>
      </c>
      <c r="AN24" s="59" t="s">
        <v>604</v>
      </c>
      <c r="AO24" s="59" t="s">
        <v>335</v>
      </c>
      <c r="AP24" s="59" t="s">
        <v>581</v>
      </c>
      <c r="AQ24" s="59" t="s">
        <v>145</v>
      </c>
      <c r="AR24" s="59" t="s">
        <v>315</v>
      </c>
      <c r="AS24" s="60" t="s">
        <v>146</v>
      </c>
      <c r="AT24" s="59" t="s">
        <v>605</v>
      </c>
    </row>
    <row r="25" ht="229.5" spans="1:46">
      <c r="A25" s="55">
        <v>23</v>
      </c>
      <c r="B25" s="56" t="s">
        <v>606</v>
      </c>
      <c r="C25" s="56" t="s">
        <v>607</v>
      </c>
      <c r="D25" s="56" t="s">
        <v>35</v>
      </c>
      <c r="E25" s="57">
        <v>154</v>
      </c>
      <c r="F25" s="57">
        <v>58</v>
      </c>
      <c r="G25" s="58">
        <f t="shared" si="0"/>
        <v>24.4560634171024</v>
      </c>
      <c r="H25" s="56" t="s">
        <v>608</v>
      </c>
      <c r="I25" s="56" t="s">
        <v>609</v>
      </c>
      <c r="J25" s="56" t="s">
        <v>120</v>
      </c>
      <c r="K25" s="56" t="s">
        <v>120</v>
      </c>
      <c r="L25" s="56" t="s">
        <v>120</v>
      </c>
      <c r="M25" s="56" t="s">
        <v>300</v>
      </c>
      <c r="N25" s="56" t="s">
        <v>610</v>
      </c>
      <c r="O25" s="56" t="s">
        <v>611</v>
      </c>
      <c r="P25" s="56" t="s">
        <v>120</v>
      </c>
      <c r="Q25" s="56" t="s">
        <v>154</v>
      </c>
      <c r="R25" s="56" t="s">
        <v>612</v>
      </c>
      <c r="S25" s="56" t="s">
        <v>613</v>
      </c>
      <c r="T25" s="56" t="s">
        <v>614</v>
      </c>
      <c r="U25" s="56" t="s">
        <v>615</v>
      </c>
      <c r="V25" s="56" t="s">
        <v>556</v>
      </c>
      <c r="W25" s="56" t="s">
        <v>616</v>
      </c>
      <c r="X25" s="56" t="s">
        <v>181</v>
      </c>
      <c r="Y25" s="61"/>
      <c r="Z25" s="56" t="s">
        <v>617</v>
      </c>
      <c r="AA25" s="56" t="s">
        <v>618</v>
      </c>
      <c r="AB25" s="56" t="s">
        <v>330</v>
      </c>
      <c r="AC25" s="56" t="s">
        <v>619</v>
      </c>
      <c r="AD25" s="56" t="s">
        <v>620</v>
      </c>
      <c r="AE25" s="61"/>
      <c r="AF25" s="56" t="s">
        <v>137</v>
      </c>
      <c r="AG25" s="56" t="s">
        <v>138</v>
      </c>
      <c r="AH25" s="56" t="s">
        <v>138</v>
      </c>
      <c r="AI25" s="56" t="s">
        <v>138</v>
      </c>
      <c r="AJ25" s="56" t="s">
        <v>621</v>
      </c>
      <c r="AK25" s="61"/>
      <c r="AL25" s="56" t="s">
        <v>622</v>
      </c>
      <c r="AM25" s="56" t="s">
        <v>623</v>
      </c>
      <c r="AN25" s="59" t="s">
        <v>624</v>
      </c>
      <c r="AO25" s="59" t="s">
        <v>625</v>
      </c>
      <c r="AP25" s="59" t="s">
        <v>626</v>
      </c>
      <c r="AQ25" s="59" t="s">
        <v>145</v>
      </c>
      <c r="AR25" s="59" t="s">
        <v>173</v>
      </c>
      <c r="AS25" s="60" t="s">
        <v>174</v>
      </c>
      <c r="AT25" s="59" t="s">
        <v>627</v>
      </c>
    </row>
    <row r="26" ht="216.75" spans="1:46">
      <c r="A26" s="55">
        <v>24</v>
      </c>
      <c r="B26" s="56" t="s">
        <v>628</v>
      </c>
      <c r="C26" s="56" t="s">
        <v>629</v>
      </c>
      <c r="D26" s="56" t="s">
        <v>34</v>
      </c>
      <c r="E26" s="57">
        <v>169</v>
      </c>
      <c r="F26" s="57">
        <v>86</v>
      </c>
      <c r="G26" s="58">
        <f t="shared" si="0"/>
        <v>30.1109905115367</v>
      </c>
      <c r="H26" s="56" t="s">
        <v>630</v>
      </c>
      <c r="I26" s="56" t="s">
        <v>253</v>
      </c>
      <c r="J26" s="56" t="s">
        <v>120</v>
      </c>
      <c r="K26" s="56" t="s">
        <v>120</v>
      </c>
      <c r="L26" s="56" t="s">
        <v>120</v>
      </c>
      <c r="M26" s="56" t="s">
        <v>631</v>
      </c>
      <c r="N26" s="56" t="s">
        <v>632</v>
      </c>
      <c r="O26" s="56" t="s">
        <v>633</v>
      </c>
      <c r="P26" s="56" t="s">
        <v>120</v>
      </c>
      <c r="Q26" s="56" t="s">
        <v>122</v>
      </c>
      <c r="R26" s="56" t="s">
        <v>123</v>
      </c>
      <c r="S26" s="56" t="s">
        <v>634</v>
      </c>
      <c r="T26" s="56" t="s">
        <v>635</v>
      </c>
      <c r="U26" s="56" t="s">
        <v>636</v>
      </c>
      <c r="V26" s="56" t="s">
        <v>455</v>
      </c>
      <c r="W26" s="56" t="s">
        <v>637</v>
      </c>
      <c r="X26" s="56" t="s">
        <v>638</v>
      </c>
      <c r="Y26" s="56" t="s">
        <v>639</v>
      </c>
      <c r="Z26" s="56" t="s">
        <v>543</v>
      </c>
      <c r="AA26" s="56" t="s">
        <v>260</v>
      </c>
      <c r="AB26" s="56" t="s">
        <v>640</v>
      </c>
      <c r="AC26" s="56" t="s">
        <v>641</v>
      </c>
      <c r="AD26" s="56" t="s">
        <v>642</v>
      </c>
      <c r="AE26" s="56" t="s">
        <v>643</v>
      </c>
      <c r="AF26" s="56" t="s">
        <v>137</v>
      </c>
      <c r="AG26" s="56" t="s">
        <v>138</v>
      </c>
      <c r="AH26" s="56" t="s">
        <v>138</v>
      </c>
      <c r="AI26" s="56" t="s">
        <v>138</v>
      </c>
      <c r="AJ26" s="56" t="s">
        <v>644</v>
      </c>
      <c r="AK26" s="56" t="s">
        <v>645</v>
      </c>
      <c r="AL26" s="56" t="s">
        <v>411</v>
      </c>
      <c r="AM26" s="56" t="s">
        <v>135</v>
      </c>
      <c r="AN26" s="59" t="s">
        <v>441</v>
      </c>
      <c r="AO26" s="59" t="s">
        <v>646</v>
      </c>
      <c r="AP26" s="50"/>
      <c r="AQ26" s="59" t="s">
        <v>145</v>
      </c>
      <c r="AR26" s="50"/>
      <c r="AS26" s="60" t="s">
        <v>647</v>
      </c>
      <c r="AT26" s="59" t="s">
        <v>648</v>
      </c>
    </row>
    <row r="27" ht="306" spans="1:46">
      <c r="A27" s="55">
        <v>25</v>
      </c>
      <c r="B27" s="56" t="s">
        <v>649</v>
      </c>
      <c r="C27" s="56" t="s">
        <v>650</v>
      </c>
      <c r="D27" s="56" t="s">
        <v>34</v>
      </c>
      <c r="E27" s="57">
        <v>170</v>
      </c>
      <c r="F27" s="57">
        <v>62</v>
      </c>
      <c r="G27" s="58">
        <f t="shared" si="0"/>
        <v>21.4532871972318</v>
      </c>
      <c r="H27" s="56" t="s">
        <v>651</v>
      </c>
      <c r="I27" s="56" t="s">
        <v>652</v>
      </c>
      <c r="J27" s="56" t="s">
        <v>653</v>
      </c>
      <c r="K27" s="56" t="s">
        <v>120</v>
      </c>
      <c r="L27" s="56" t="s">
        <v>120</v>
      </c>
      <c r="M27" s="56" t="s">
        <v>120</v>
      </c>
      <c r="N27" s="56" t="s">
        <v>231</v>
      </c>
      <c r="O27" s="56" t="s">
        <v>654</v>
      </c>
      <c r="P27" s="56" t="s">
        <v>120</v>
      </c>
      <c r="Q27" s="56" t="s">
        <v>154</v>
      </c>
      <c r="R27" s="56" t="s">
        <v>417</v>
      </c>
      <c r="S27" s="56" t="s">
        <v>655</v>
      </c>
      <c r="T27" s="56" t="s">
        <v>656</v>
      </c>
      <c r="U27" s="56" t="s">
        <v>657</v>
      </c>
      <c r="V27" s="56" t="s">
        <v>658</v>
      </c>
      <c r="W27" s="56" t="s">
        <v>659</v>
      </c>
      <c r="X27" s="56" t="s">
        <v>660</v>
      </c>
      <c r="Y27" s="56" t="s">
        <v>661</v>
      </c>
      <c r="Z27" s="56" t="s">
        <v>662</v>
      </c>
      <c r="AA27" s="56" t="s">
        <v>663</v>
      </c>
      <c r="AB27" s="56" t="s">
        <v>664</v>
      </c>
      <c r="AC27" s="56" t="s">
        <v>665</v>
      </c>
      <c r="AD27" s="56" t="s">
        <v>666</v>
      </c>
      <c r="AE27" s="56" t="s">
        <v>667</v>
      </c>
      <c r="AF27" s="56" t="s">
        <v>668</v>
      </c>
      <c r="AG27" s="56" t="s">
        <v>138</v>
      </c>
      <c r="AH27" s="56" t="s">
        <v>138</v>
      </c>
      <c r="AI27" s="56" t="s">
        <v>138</v>
      </c>
      <c r="AJ27" s="56" t="s">
        <v>220</v>
      </c>
      <c r="AK27" s="56" t="s">
        <v>669</v>
      </c>
      <c r="AL27" s="56" t="s">
        <v>670</v>
      </c>
      <c r="AM27" s="56" t="s">
        <v>671</v>
      </c>
      <c r="AN27" s="59" t="s">
        <v>672</v>
      </c>
      <c r="AO27" s="59" t="s">
        <v>673</v>
      </c>
      <c r="AP27" s="50"/>
      <c r="AQ27" s="59" t="s">
        <v>145</v>
      </c>
      <c r="AR27" s="50"/>
      <c r="AS27" s="60" t="s">
        <v>146</v>
      </c>
      <c r="AT27" s="59" t="s">
        <v>674</v>
      </c>
    </row>
    <row r="28" ht="114.75" spans="1:46">
      <c r="A28" s="55">
        <v>26</v>
      </c>
      <c r="B28" s="56" t="s">
        <v>675</v>
      </c>
      <c r="C28" s="56" t="s">
        <v>676</v>
      </c>
      <c r="D28" s="56" t="s">
        <v>34</v>
      </c>
      <c r="E28" s="57">
        <v>170</v>
      </c>
      <c r="F28" s="57">
        <v>66</v>
      </c>
      <c r="G28" s="58">
        <f t="shared" si="0"/>
        <v>22.8373702422145</v>
      </c>
      <c r="H28" s="56" t="s">
        <v>677</v>
      </c>
      <c r="I28" s="56" t="s">
        <v>678</v>
      </c>
      <c r="J28" s="56" t="s">
        <v>120</v>
      </c>
      <c r="K28" s="56" t="s">
        <v>679</v>
      </c>
      <c r="L28" s="56" t="s">
        <v>120</v>
      </c>
      <c r="M28" s="56" t="s">
        <v>120</v>
      </c>
      <c r="N28" s="56" t="s">
        <v>120</v>
      </c>
      <c r="O28" s="56" t="s">
        <v>680</v>
      </c>
      <c r="P28" s="56" t="s">
        <v>120</v>
      </c>
      <c r="Q28" s="56" t="s">
        <v>122</v>
      </c>
      <c r="R28" s="56" t="s">
        <v>301</v>
      </c>
      <c r="S28" s="56" t="s">
        <v>681</v>
      </c>
      <c r="T28" s="56" t="s">
        <v>682</v>
      </c>
      <c r="U28" s="56" t="s">
        <v>683</v>
      </c>
      <c r="V28" s="56" t="s">
        <v>684</v>
      </c>
      <c r="W28" s="56" t="s">
        <v>685</v>
      </c>
      <c r="X28" s="56" t="s">
        <v>686</v>
      </c>
      <c r="Y28" s="56" t="s">
        <v>687</v>
      </c>
      <c r="Z28" s="56" t="s">
        <v>688</v>
      </c>
      <c r="AA28" s="56" t="s">
        <v>689</v>
      </c>
      <c r="AB28" s="56" t="s">
        <v>667</v>
      </c>
      <c r="AC28" s="56" t="s">
        <v>690</v>
      </c>
      <c r="AD28" s="56" t="s">
        <v>691</v>
      </c>
      <c r="AE28" s="56" t="s">
        <v>692</v>
      </c>
      <c r="AF28" s="56" t="s">
        <v>137</v>
      </c>
      <c r="AG28" s="56" t="s">
        <v>138</v>
      </c>
      <c r="AH28" s="56" t="s">
        <v>138</v>
      </c>
      <c r="AI28" s="56" t="s">
        <v>138</v>
      </c>
      <c r="AJ28" s="56" t="s">
        <v>693</v>
      </c>
      <c r="AK28" s="56" t="s">
        <v>694</v>
      </c>
      <c r="AL28" s="56" t="s">
        <v>695</v>
      </c>
      <c r="AM28" s="56" t="s">
        <v>696</v>
      </c>
      <c r="AN28" s="59" t="s">
        <v>170</v>
      </c>
      <c r="AO28" s="59" t="s">
        <v>335</v>
      </c>
      <c r="AP28" s="50"/>
      <c r="AQ28" s="59" t="s">
        <v>145</v>
      </c>
      <c r="AR28" s="50"/>
      <c r="AS28" s="60" t="s">
        <v>174</v>
      </c>
      <c r="AT28" s="59" t="s">
        <v>697</v>
      </c>
    </row>
    <row r="29" ht="165.75" spans="1:46">
      <c r="A29" s="55">
        <v>27</v>
      </c>
      <c r="B29" s="56" t="s">
        <v>698</v>
      </c>
      <c r="C29" s="56" t="s">
        <v>699</v>
      </c>
      <c r="D29" s="56" t="s">
        <v>35</v>
      </c>
      <c r="E29" s="57">
        <v>156</v>
      </c>
      <c r="F29" s="57">
        <v>58</v>
      </c>
      <c r="G29" s="58">
        <f t="shared" si="0"/>
        <v>23.8330046022354</v>
      </c>
      <c r="H29" s="56" t="s">
        <v>651</v>
      </c>
      <c r="I29" s="56" t="s">
        <v>700</v>
      </c>
      <c r="J29" s="56" t="s">
        <v>120</v>
      </c>
      <c r="K29" s="56" t="s">
        <v>120</v>
      </c>
      <c r="L29" s="56" t="s">
        <v>120</v>
      </c>
      <c r="M29" s="56" t="s">
        <v>300</v>
      </c>
      <c r="N29" s="56" t="s">
        <v>120</v>
      </c>
      <c r="O29" s="56" t="s">
        <v>121</v>
      </c>
      <c r="P29" s="56" t="s">
        <v>701</v>
      </c>
      <c r="Q29" s="56" t="s">
        <v>154</v>
      </c>
      <c r="R29" s="56" t="s">
        <v>301</v>
      </c>
      <c r="S29" s="56" t="s">
        <v>341</v>
      </c>
      <c r="T29" s="56" t="s">
        <v>702</v>
      </c>
      <c r="U29" s="56" t="s">
        <v>473</v>
      </c>
      <c r="V29" s="56" t="s">
        <v>245</v>
      </c>
      <c r="W29" s="56" t="s">
        <v>703</v>
      </c>
      <c r="X29" s="56" t="s">
        <v>704</v>
      </c>
      <c r="Y29" s="61"/>
      <c r="Z29" s="56" t="s">
        <v>705</v>
      </c>
      <c r="AA29" s="56" t="s">
        <v>706</v>
      </c>
      <c r="AB29" s="56" t="s">
        <v>707</v>
      </c>
      <c r="AC29" s="56" t="s">
        <v>708</v>
      </c>
      <c r="AD29" s="56" t="s">
        <v>709</v>
      </c>
      <c r="AE29" s="61"/>
      <c r="AF29" s="56" t="s">
        <v>137</v>
      </c>
      <c r="AG29" s="56" t="s">
        <v>138</v>
      </c>
      <c r="AH29" s="56" t="s">
        <v>138</v>
      </c>
      <c r="AI29" s="56" t="s">
        <v>138</v>
      </c>
      <c r="AJ29" s="56" t="s">
        <v>375</v>
      </c>
      <c r="AK29" s="61"/>
      <c r="AL29" s="56" t="s">
        <v>377</v>
      </c>
      <c r="AM29" s="56" t="s">
        <v>398</v>
      </c>
      <c r="AN29" s="59" t="s">
        <v>710</v>
      </c>
      <c r="AO29" s="59" t="s">
        <v>711</v>
      </c>
      <c r="AP29" s="59" t="s">
        <v>314</v>
      </c>
      <c r="AQ29" s="59" t="s">
        <v>145</v>
      </c>
      <c r="AR29" s="59" t="s">
        <v>173</v>
      </c>
      <c r="AS29" s="60" t="s">
        <v>647</v>
      </c>
      <c r="AT29" s="59" t="s">
        <v>712</v>
      </c>
    </row>
    <row r="30" ht="331.5" spans="1:46">
      <c r="A30" s="55">
        <v>28</v>
      </c>
      <c r="B30" s="56" t="s">
        <v>713</v>
      </c>
      <c r="C30" s="56" t="s">
        <v>714</v>
      </c>
      <c r="D30" s="56" t="s">
        <v>34</v>
      </c>
      <c r="E30" s="57">
        <v>170</v>
      </c>
      <c r="F30" s="57">
        <v>70</v>
      </c>
      <c r="G30" s="58">
        <f t="shared" si="0"/>
        <v>24.2214532871972</v>
      </c>
      <c r="H30" s="56" t="s">
        <v>715</v>
      </c>
      <c r="I30" s="56" t="s">
        <v>716</v>
      </c>
      <c r="J30" s="56" t="s">
        <v>120</v>
      </c>
      <c r="K30" s="56" t="s">
        <v>717</v>
      </c>
      <c r="L30" s="56" t="s">
        <v>718</v>
      </c>
      <c r="M30" s="56" t="s">
        <v>719</v>
      </c>
      <c r="N30" s="56" t="s">
        <v>231</v>
      </c>
      <c r="O30" s="56" t="s">
        <v>121</v>
      </c>
      <c r="P30" s="56" t="s">
        <v>120</v>
      </c>
      <c r="Q30" s="56" t="s">
        <v>450</v>
      </c>
      <c r="R30" s="56" t="s">
        <v>720</v>
      </c>
      <c r="S30" s="56" t="s">
        <v>721</v>
      </c>
      <c r="T30" s="56" t="s">
        <v>722</v>
      </c>
      <c r="U30" s="56" t="s">
        <v>723</v>
      </c>
      <c r="V30" s="56" t="s">
        <v>245</v>
      </c>
      <c r="W30" s="56" t="s">
        <v>724</v>
      </c>
      <c r="X30" s="56" t="s">
        <v>725</v>
      </c>
      <c r="Y30" s="56" t="s">
        <v>726</v>
      </c>
      <c r="Z30" s="56" t="s">
        <v>727</v>
      </c>
      <c r="AA30" s="56" t="s">
        <v>728</v>
      </c>
      <c r="AB30" s="56" t="s">
        <v>729</v>
      </c>
      <c r="AC30" s="56" t="s">
        <v>730</v>
      </c>
      <c r="AD30" s="56" t="s">
        <v>731</v>
      </c>
      <c r="AE30" s="56" t="s">
        <v>732</v>
      </c>
      <c r="AF30" s="56" t="s">
        <v>137</v>
      </c>
      <c r="AG30" s="56" t="s">
        <v>138</v>
      </c>
      <c r="AH30" s="56" t="s">
        <v>138</v>
      </c>
      <c r="AI30" s="56" t="s">
        <v>138</v>
      </c>
      <c r="AJ30" s="56" t="s">
        <v>733</v>
      </c>
      <c r="AK30" s="56" t="s">
        <v>734</v>
      </c>
      <c r="AL30" s="56" t="s">
        <v>375</v>
      </c>
      <c r="AM30" s="56" t="s">
        <v>735</v>
      </c>
      <c r="AN30" s="59" t="s">
        <v>736</v>
      </c>
      <c r="AO30" s="59" t="s">
        <v>737</v>
      </c>
      <c r="AP30" s="50"/>
      <c r="AQ30" s="59" t="s">
        <v>145</v>
      </c>
      <c r="AR30" s="50"/>
      <c r="AS30" s="60" t="s">
        <v>647</v>
      </c>
      <c r="AT30" s="59" t="s">
        <v>738</v>
      </c>
    </row>
    <row r="31" ht="191.25" spans="1:46">
      <c r="A31" s="55">
        <v>29</v>
      </c>
      <c r="B31" s="56" t="s">
        <v>739</v>
      </c>
      <c r="C31" s="56" t="s">
        <v>740</v>
      </c>
      <c r="D31" s="56" t="s">
        <v>35</v>
      </c>
      <c r="E31" s="57">
        <v>151</v>
      </c>
      <c r="F31" s="57">
        <v>56</v>
      </c>
      <c r="G31" s="58">
        <f t="shared" si="0"/>
        <v>24.560326301478</v>
      </c>
      <c r="H31" s="56" t="s">
        <v>741</v>
      </c>
      <c r="I31" s="56" t="s">
        <v>253</v>
      </c>
      <c r="J31" s="56" t="s">
        <v>742</v>
      </c>
      <c r="K31" s="56" t="s">
        <v>120</v>
      </c>
      <c r="L31" s="56" t="s">
        <v>120</v>
      </c>
      <c r="M31" s="56" t="s">
        <v>300</v>
      </c>
      <c r="N31" s="56" t="s">
        <v>743</v>
      </c>
      <c r="O31" s="56" t="s">
        <v>120</v>
      </c>
      <c r="P31" s="56" t="s">
        <v>120</v>
      </c>
      <c r="Q31" s="56" t="s">
        <v>154</v>
      </c>
      <c r="R31" s="56" t="s">
        <v>744</v>
      </c>
      <c r="S31" s="56" t="s">
        <v>745</v>
      </c>
      <c r="T31" s="56" t="s">
        <v>746</v>
      </c>
      <c r="U31" s="56" t="s">
        <v>747</v>
      </c>
      <c r="V31" s="56" t="s">
        <v>621</v>
      </c>
      <c r="W31" s="56" t="s">
        <v>574</v>
      </c>
      <c r="X31" s="56" t="s">
        <v>545</v>
      </c>
      <c r="Y31" s="61"/>
      <c r="Z31" s="56" t="s">
        <v>133</v>
      </c>
      <c r="AA31" s="56" t="s">
        <v>748</v>
      </c>
      <c r="AB31" s="56" t="s">
        <v>749</v>
      </c>
      <c r="AC31" s="56" t="s">
        <v>750</v>
      </c>
      <c r="AD31" s="56" t="s">
        <v>453</v>
      </c>
      <c r="AE31" s="61"/>
      <c r="AF31" s="56" t="s">
        <v>137</v>
      </c>
      <c r="AG31" s="56" t="s">
        <v>138</v>
      </c>
      <c r="AH31" s="56" t="s">
        <v>138</v>
      </c>
      <c r="AI31" s="56" t="s">
        <v>138</v>
      </c>
      <c r="AJ31" s="56" t="s">
        <v>751</v>
      </c>
      <c r="AK31" s="61"/>
      <c r="AL31" s="56" t="s">
        <v>752</v>
      </c>
      <c r="AM31" s="56" t="s">
        <v>724</v>
      </c>
      <c r="AN31" s="59" t="s">
        <v>753</v>
      </c>
      <c r="AO31" s="59" t="s">
        <v>754</v>
      </c>
      <c r="AP31" s="59" t="s">
        <v>314</v>
      </c>
      <c r="AQ31" s="59" t="s">
        <v>145</v>
      </c>
      <c r="AR31" s="59" t="s">
        <v>315</v>
      </c>
      <c r="AS31" s="60" t="s">
        <v>174</v>
      </c>
      <c r="AT31" s="59" t="s">
        <v>755</v>
      </c>
    </row>
    <row r="32" ht="267.75" spans="1:46">
      <c r="A32" s="55">
        <v>30</v>
      </c>
      <c r="B32" s="56" t="s">
        <v>756</v>
      </c>
      <c r="C32" s="56" t="s">
        <v>757</v>
      </c>
      <c r="D32" s="56" t="s">
        <v>35</v>
      </c>
      <c r="E32" s="57">
        <v>160</v>
      </c>
      <c r="F32" s="57">
        <v>52</v>
      </c>
      <c r="G32" s="58">
        <f t="shared" si="0"/>
        <v>20.3125</v>
      </c>
      <c r="H32" s="56" t="s">
        <v>758</v>
      </c>
      <c r="I32" s="56" t="s">
        <v>759</v>
      </c>
      <c r="J32" s="56" t="s">
        <v>760</v>
      </c>
      <c r="K32" s="56" t="s">
        <v>761</v>
      </c>
      <c r="L32" s="56" t="s">
        <v>120</v>
      </c>
      <c r="M32" s="56" t="s">
        <v>120</v>
      </c>
      <c r="N32" s="56" t="s">
        <v>120</v>
      </c>
      <c r="O32" s="56" t="s">
        <v>120</v>
      </c>
      <c r="P32" s="56" t="s">
        <v>254</v>
      </c>
      <c r="Q32" s="56" t="s">
        <v>154</v>
      </c>
      <c r="R32" s="56" t="s">
        <v>762</v>
      </c>
      <c r="S32" s="56" t="s">
        <v>386</v>
      </c>
      <c r="T32" s="56" t="s">
        <v>763</v>
      </c>
      <c r="U32" s="56" t="s">
        <v>764</v>
      </c>
      <c r="V32" s="56" t="s">
        <v>765</v>
      </c>
      <c r="W32" s="56" t="s">
        <v>766</v>
      </c>
      <c r="X32" s="56" t="s">
        <v>767</v>
      </c>
      <c r="Y32" s="61"/>
      <c r="Z32" s="56" t="s">
        <v>768</v>
      </c>
      <c r="AA32" s="56" t="s">
        <v>769</v>
      </c>
      <c r="AB32" s="56" t="s">
        <v>770</v>
      </c>
      <c r="AC32" s="56" t="s">
        <v>215</v>
      </c>
      <c r="AD32" s="56" t="s">
        <v>579</v>
      </c>
      <c r="AE32" s="61"/>
      <c r="AF32" s="56" t="s">
        <v>137</v>
      </c>
      <c r="AG32" s="56" t="s">
        <v>138</v>
      </c>
      <c r="AH32" s="56" t="s">
        <v>138</v>
      </c>
      <c r="AI32" s="56" t="s">
        <v>771</v>
      </c>
      <c r="AJ32" s="56" t="s">
        <v>190</v>
      </c>
      <c r="AK32" s="61"/>
      <c r="AL32" s="56" t="s">
        <v>772</v>
      </c>
      <c r="AM32" s="56" t="s">
        <v>773</v>
      </c>
      <c r="AN32" s="59" t="s">
        <v>504</v>
      </c>
      <c r="AO32" s="59" t="s">
        <v>774</v>
      </c>
      <c r="AP32" s="59" t="s">
        <v>422</v>
      </c>
      <c r="AQ32" s="59" t="s">
        <v>145</v>
      </c>
      <c r="AR32" s="59" t="s">
        <v>315</v>
      </c>
      <c r="AS32" s="60" t="s">
        <v>146</v>
      </c>
      <c r="AT32" s="59" t="s">
        <v>775</v>
      </c>
    </row>
    <row r="33" ht="165.75" spans="1:46">
      <c r="A33" s="55">
        <v>31</v>
      </c>
      <c r="B33" s="56" t="s">
        <v>776</v>
      </c>
      <c r="C33" s="56" t="s">
        <v>777</v>
      </c>
      <c r="D33" s="56" t="s">
        <v>35</v>
      </c>
      <c r="E33" s="57">
        <v>158</v>
      </c>
      <c r="F33" s="57">
        <v>50</v>
      </c>
      <c r="G33" s="58">
        <f t="shared" si="0"/>
        <v>20.0288415318058</v>
      </c>
      <c r="H33" s="56" t="s">
        <v>778</v>
      </c>
      <c r="I33" s="56" t="s">
        <v>779</v>
      </c>
      <c r="J33" s="56" t="s">
        <v>120</v>
      </c>
      <c r="K33" s="56" t="s">
        <v>120</v>
      </c>
      <c r="L33" s="56" t="s">
        <v>120</v>
      </c>
      <c r="M33" s="56" t="s">
        <v>300</v>
      </c>
      <c r="N33" s="56" t="s">
        <v>120</v>
      </c>
      <c r="O33" s="56" t="s">
        <v>120</v>
      </c>
      <c r="P33" s="56" t="s">
        <v>120</v>
      </c>
      <c r="Q33" s="56" t="s">
        <v>122</v>
      </c>
      <c r="R33" s="56" t="s">
        <v>321</v>
      </c>
      <c r="S33" s="56" t="s">
        <v>780</v>
      </c>
      <c r="T33" s="56" t="s">
        <v>211</v>
      </c>
      <c r="U33" s="56" t="s">
        <v>781</v>
      </c>
      <c r="V33" s="56" t="s">
        <v>782</v>
      </c>
      <c r="W33" s="56" t="s">
        <v>720</v>
      </c>
      <c r="X33" s="56" t="s">
        <v>512</v>
      </c>
      <c r="Y33" s="61"/>
      <c r="Z33" s="56" t="s">
        <v>705</v>
      </c>
      <c r="AA33" s="56" t="s">
        <v>783</v>
      </c>
      <c r="AB33" s="56" t="s">
        <v>784</v>
      </c>
      <c r="AC33" s="56" t="s">
        <v>785</v>
      </c>
      <c r="AD33" s="56" t="s">
        <v>419</v>
      </c>
      <c r="AE33" s="61"/>
      <c r="AF33" s="56" t="s">
        <v>137</v>
      </c>
      <c r="AG33" s="56" t="s">
        <v>138</v>
      </c>
      <c r="AH33" s="56" t="s">
        <v>786</v>
      </c>
      <c r="AI33" s="56" t="s">
        <v>138</v>
      </c>
      <c r="AJ33" s="56" t="s">
        <v>502</v>
      </c>
      <c r="AK33" s="61"/>
      <c r="AL33" s="56" t="s">
        <v>787</v>
      </c>
      <c r="AM33" s="56" t="s">
        <v>788</v>
      </c>
      <c r="AN33" s="59" t="s">
        <v>789</v>
      </c>
      <c r="AO33" s="59" t="s">
        <v>790</v>
      </c>
      <c r="AP33" s="59" t="s">
        <v>791</v>
      </c>
      <c r="AQ33" s="59" t="s">
        <v>145</v>
      </c>
      <c r="AR33" s="59" t="s">
        <v>173</v>
      </c>
      <c r="AS33" s="60" t="s">
        <v>174</v>
      </c>
      <c r="AT33" s="59" t="s">
        <v>792</v>
      </c>
    </row>
    <row r="34" ht="242.25" spans="1:46">
      <c r="A34" s="55">
        <v>32</v>
      </c>
      <c r="B34" s="56" t="s">
        <v>793</v>
      </c>
      <c r="C34" s="56" t="s">
        <v>794</v>
      </c>
      <c r="D34" s="56" t="s">
        <v>35</v>
      </c>
      <c r="E34" s="57">
        <v>152</v>
      </c>
      <c r="F34" s="57">
        <v>51</v>
      </c>
      <c r="G34" s="58">
        <f t="shared" si="0"/>
        <v>22.0740997229917</v>
      </c>
      <c r="H34" s="56" t="s">
        <v>795</v>
      </c>
      <c r="I34" s="56" t="s">
        <v>298</v>
      </c>
      <c r="J34" s="56" t="s">
        <v>448</v>
      </c>
      <c r="K34" s="56" t="s">
        <v>120</v>
      </c>
      <c r="L34" s="56" t="s">
        <v>120</v>
      </c>
      <c r="M34" s="56" t="s">
        <v>796</v>
      </c>
      <c r="N34" s="56" t="s">
        <v>120</v>
      </c>
      <c r="O34" s="56" t="s">
        <v>797</v>
      </c>
      <c r="P34" s="56" t="s">
        <v>254</v>
      </c>
      <c r="Q34" s="56" t="s">
        <v>122</v>
      </c>
      <c r="R34" s="56" t="s">
        <v>798</v>
      </c>
      <c r="S34" s="56" t="s">
        <v>799</v>
      </c>
      <c r="T34" s="56" t="s">
        <v>800</v>
      </c>
      <c r="U34" s="56" t="s">
        <v>801</v>
      </c>
      <c r="V34" s="56" t="s">
        <v>621</v>
      </c>
      <c r="W34" s="56" t="s">
        <v>802</v>
      </c>
      <c r="X34" s="56" t="s">
        <v>132</v>
      </c>
      <c r="Y34" s="61"/>
      <c r="Z34" s="56" t="s">
        <v>803</v>
      </c>
      <c r="AA34" s="56" t="s">
        <v>804</v>
      </c>
      <c r="AB34" s="56" t="s">
        <v>433</v>
      </c>
      <c r="AC34" s="56" t="s">
        <v>787</v>
      </c>
      <c r="AD34" s="56" t="s">
        <v>563</v>
      </c>
      <c r="AE34" s="61"/>
      <c r="AF34" s="56" t="s">
        <v>137</v>
      </c>
      <c r="AG34" s="56" t="s">
        <v>138</v>
      </c>
      <c r="AH34" s="56" t="s">
        <v>138</v>
      </c>
      <c r="AI34" s="56" t="s">
        <v>138</v>
      </c>
      <c r="AJ34" s="56" t="s">
        <v>805</v>
      </c>
      <c r="AK34" s="61"/>
      <c r="AL34" s="56" t="s">
        <v>134</v>
      </c>
      <c r="AM34" s="56" t="s">
        <v>395</v>
      </c>
      <c r="AN34" s="59" t="s">
        <v>806</v>
      </c>
      <c r="AO34" s="59" t="s">
        <v>335</v>
      </c>
      <c r="AP34" s="59" t="s">
        <v>807</v>
      </c>
      <c r="AQ34" s="59" t="s">
        <v>145</v>
      </c>
      <c r="AR34" s="59" t="s">
        <v>505</v>
      </c>
      <c r="AS34" s="60" t="s">
        <v>146</v>
      </c>
      <c r="AT34" s="59" t="s">
        <v>808</v>
      </c>
    </row>
    <row r="35" ht="114.75" spans="1:46">
      <c r="A35" s="55">
        <v>33</v>
      </c>
      <c r="B35" s="56" t="s">
        <v>809</v>
      </c>
      <c r="C35" s="56" t="s">
        <v>810</v>
      </c>
      <c r="D35" s="56" t="s">
        <v>35</v>
      </c>
      <c r="E35" s="57">
        <v>158</v>
      </c>
      <c r="F35" s="57">
        <v>50</v>
      </c>
      <c r="G35" s="58">
        <f t="shared" si="0"/>
        <v>20.0288415318058</v>
      </c>
      <c r="H35" s="56" t="s">
        <v>811</v>
      </c>
      <c r="I35" s="56" t="s">
        <v>812</v>
      </c>
      <c r="J35" s="56" t="s">
        <v>120</v>
      </c>
      <c r="K35" s="56" t="s">
        <v>120</v>
      </c>
      <c r="L35" s="56" t="s">
        <v>120</v>
      </c>
      <c r="M35" s="56" t="s">
        <v>813</v>
      </c>
      <c r="N35" s="56" t="s">
        <v>120</v>
      </c>
      <c r="O35" s="56" t="s">
        <v>120</v>
      </c>
      <c r="P35" s="56" t="s">
        <v>120</v>
      </c>
      <c r="Q35" s="56" t="s">
        <v>450</v>
      </c>
      <c r="R35" s="56" t="s">
        <v>814</v>
      </c>
      <c r="S35" s="56" t="s">
        <v>386</v>
      </c>
      <c r="T35" s="56" t="s">
        <v>815</v>
      </c>
      <c r="U35" s="56" t="s">
        <v>816</v>
      </c>
      <c r="V35" s="56" t="s">
        <v>817</v>
      </c>
      <c r="W35" s="56" t="s">
        <v>545</v>
      </c>
      <c r="X35" s="56" t="s">
        <v>571</v>
      </c>
      <c r="Y35" s="61"/>
      <c r="Z35" s="56" t="s">
        <v>818</v>
      </c>
      <c r="AA35" s="56" t="s">
        <v>765</v>
      </c>
      <c r="AB35" s="56" t="s">
        <v>784</v>
      </c>
      <c r="AC35" s="56" t="s">
        <v>819</v>
      </c>
      <c r="AD35" s="56" t="s">
        <v>724</v>
      </c>
      <c r="AE35" s="61"/>
      <c r="AF35" s="56" t="s">
        <v>137</v>
      </c>
      <c r="AG35" s="56" t="s">
        <v>138</v>
      </c>
      <c r="AH35" s="56" t="s">
        <v>138</v>
      </c>
      <c r="AI35" s="56" t="s">
        <v>138</v>
      </c>
      <c r="AJ35" s="56" t="s">
        <v>268</v>
      </c>
      <c r="AK35" s="61"/>
      <c r="AL35" s="56" t="s">
        <v>820</v>
      </c>
      <c r="AM35" s="56" t="s">
        <v>821</v>
      </c>
      <c r="AN35" s="59" t="s">
        <v>822</v>
      </c>
      <c r="AO35" s="59" t="s">
        <v>823</v>
      </c>
      <c r="AP35" s="59" t="s">
        <v>314</v>
      </c>
      <c r="AQ35" s="59" t="s">
        <v>145</v>
      </c>
      <c r="AR35" s="59" t="s">
        <v>315</v>
      </c>
      <c r="AS35" s="60" t="s">
        <v>174</v>
      </c>
      <c r="AT35" s="59" t="s">
        <v>824</v>
      </c>
    </row>
    <row r="36" ht="127.5" spans="1:46">
      <c r="A36" s="55">
        <v>34</v>
      </c>
      <c r="B36" s="56" t="s">
        <v>825</v>
      </c>
      <c r="C36" s="56" t="s">
        <v>826</v>
      </c>
      <c r="D36" s="56" t="s">
        <v>35</v>
      </c>
      <c r="E36" s="57">
        <v>158</v>
      </c>
      <c r="F36" s="57">
        <v>49</v>
      </c>
      <c r="G36" s="58">
        <f t="shared" si="0"/>
        <v>19.6282647011697</v>
      </c>
      <c r="H36" s="56" t="s">
        <v>827</v>
      </c>
      <c r="I36" s="56" t="s">
        <v>828</v>
      </c>
      <c r="J36" s="56" t="s">
        <v>120</v>
      </c>
      <c r="K36" s="56" t="s">
        <v>120</v>
      </c>
      <c r="L36" s="56" t="s">
        <v>120</v>
      </c>
      <c r="M36" s="56" t="s">
        <v>152</v>
      </c>
      <c r="N36" s="56" t="s">
        <v>120</v>
      </c>
      <c r="O36" s="56" t="s">
        <v>120</v>
      </c>
      <c r="P36" s="56" t="s">
        <v>701</v>
      </c>
      <c r="Q36" s="56" t="s">
        <v>450</v>
      </c>
      <c r="R36" s="56" t="s">
        <v>686</v>
      </c>
      <c r="S36" s="56" t="s">
        <v>829</v>
      </c>
      <c r="T36" s="56" t="s">
        <v>830</v>
      </c>
      <c r="U36" s="56" t="s">
        <v>831</v>
      </c>
      <c r="V36" s="56" t="s">
        <v>460</v>
      </c>
      <c r="W36" s="56" t="s">
        <v>704</v>
      </c>
      <c r="X36" s="56" t="s">
        <v>456</v>
      </c>
      <c r="Y36" s="61"/>
      <c r="Z36" s="56" t="s">
        <v>285</v>
      </c>
      <c r="AA36" s="56" t="s">
        <v>832</v>
      </c>
      <c r="AB36" s="56" t="s">
        <v>833</v>
      </c>
      <c r="AC36" s="56" t="s">
        <v>311</v>
      </c>
      <c r="AD36" s="56" t="s">
        <v>125</v>
      </c>
      <c r="AE36" s="61"/>
      <c r="AF36" s="56" t="s">
        <v>173</v>
      </c>
      <c r="AG36" s="56" t="s">
        <v>173</v>
      </c>
      <c r="AH36" s="56" t="s">
        <v>173</v>
      </c>
      <c r="AI36" s="56" t="s">
        <v>173</v>
      </c>
      <c r="AJ36" s="56" t="s">
        <v>834</v>
      </c>
      <c r="AK36" s="61"/>
      <c r="AL36" s="56" t="s">
        <v>835</v>
      </c>
      <c r="AM36" s="56" t="s">
        <v>462</v>
      </c>
      <c r="AN36" s="59" t="s">
        <v>836</v>
      </c>
      <c r="AO36" s="59" t="s">
        <v>171</v>
      </c>
      <c r="AP36" s="59" t="s">
        <v>314</v>
      </c>
      <c r="AQ36" s="59" t="s">
        <v>145</v>
      </c>
      <c r="AR36" s="59" t="s">
        <v>173</v>
      </c>
      <c r="AS36" s="60" t="s">
        <v>647</v>
      </c>
      <c r="AT36" s="59" t="s">
        <v>837</v>
      </c>
    </row>
    <row r="37" ht="191.25" spans="1:46">
      <c r="A37" s="55">
        <v>35</v>
      </c>
      <c r="B37" s="56" t="s">
        <v>838</v>
      </c>
      <c r="C37" s="56" t="s">
        <v>425</v>
      </c>
      <c r="D37" s="56" t="s">
        <v>34</v>
      </c>
      <c r="E37" s="57">
        <v>172</v>
      </c>
      <c r="F37" s="57">
        <v>79</v>
      </c>
      <c r="G37" s="58">
        <f t="shared" si="0"/>
        <v>26.7036235803137</v>
      </c>
      <c r="H37" s="56" t="s">
        <v>839</v>
      </c>
      <c r="I37" s="56" t="s">
        <v>840</v>
      </c>
      <c r="J37" s="56" t="s">
        <v>841</v>
      </c>
      <c r="K37" s="56" t="s">
        <v>120</v>
      </c>
      <c r="L37" s="56" t="s">
        <v>120</v>
      </c>
      <c r="M37" s="56" t="s">
        <v>120</v>
      </c>
      <c r="N37" s="56" t="s">
        <v>120</v>
      </c>
      <c r="O37" s="56" t="s">
        <v>121</v>
      </c>
      <c r="P37" s="56" t="s">
        <v>120</v>
      </c>
      <c r="Q37" s="56" t="s">
        <v>154</v>
      </c>
      <c r="R37" s="56" t="s">
        <v>451</v>
      </c>
      <c r="S37" s="56" t="s">
        <v>341</v>
      </c>
      <c r="T37" s="56" t="s">
        <v>842</v>
      </c>
      <c r="U37" s="56" t="s">
        <v>843</v>
      </c>
      <c r="V37" s="56" t="s">
        <v>282</v>
      </c>
      <c r="W37" s="56" t="s">
        <v>844</v>
      </c>
      <c r="X37" s="56" t="s">
        <v>720</v>
      </c>
      <c r="Y37" s="56" t="s">
        <v>845</v>
      </c>
      <c r="Z37" s="56" t="s">
        <v>846</v>
      </c>
      <c r="AA37" s="56" t="s">
        <v>703</v>
      </c>
      <c r="AB37" s="56" t="s">
        <v>847</v>
      </c>
      <c r="AC37" s="56" t="s">
        <v>372</v>
      </c>
      <c r="AD37" s="56" t="s">
        <v>848</v>
      </c>
      <c r="AE37" s="56" t="s">
        <v>849</v>
      </c>
      <c r="AF37" s="56" t="s">
        <v>137</v>
      </c>
      <c r="AG37" s="56" t="s">
        <v>138</v>
      </c>
      <c r="AH37" s="56" t="s">
        <v>138</v>
      </c>
      <c r="AI37" s="56" t="s">
        <v>138</v>
      </c>
      <c r="AJ37" s="56" t="s">
        <v>411</v>
      </c>
      <c r="AK37" s="56" t="s">
        <v>850</v>
      </c>
      <c r="AL37" s="56" t="s">
        <v>220</v>
      </c>
      <c r="AM37" s="56" t="s">
        <v>709</v>
      </c>
      <c r="AN37" s="59" t="s">
        <v>851</v>
      </c>
      <c r="AO37" s="59" t="s">
        <v>292</v>
      </c>
      <c r="AP37" s="50"/>
      <c r="AQ37" s="59" t="s">
        <v>145</v>
      </c>
      <c r="AR37" s="50"/>
      <c r="AS37" s="60" t="s">
        <v>174</v>
      </c>
      <c r="AT37" s="59" t="s">
        <v>852</v>
      </c>
    </row>
    <row r="38" ht="89.25" spans="1:46">
      <c r="A38" s="55">
        <v>36</v>
      </c>
      <c r="B38" s="56" t="s">
        <v>853</v>
      </c>
      <c r="C38" s="56" t="s">
        <v>854</v>
      </c>
      <c r="D38" s="56" t="s">
        <v>34</v>
      </c>
      <c r="E38" s="57">
        <v>180</v>
      </c>
      <c r="F38" s="57">
        <v>79</v>
      </c>
      <c r="G38" s="58">
        <f t="shared" si="0"/>
        <v>24.3827160493827</v>
      </c>
      <c r="H38" s="56" t="s">
        <v>855</v>
      </c>
      <c r="I38" s="56" t="s">
        <v>856</v>
      </c>
      <c r="J38" s="56" t="s">
        <v>120</v>
      </c>
      <c r="K38" s="56" t="s">
        <v>857</v>
      </c>
      <c r="L38" s="56" t="s">
        <v>120</v>
      </c>
      <c r="M38" s="56" t="s">
        <v>858</v>
      </c>
      <c r="N38" s="56" t="s">
        <v>120</v>
      </c>
      <c r="O38" s="56" t="s">
        <v>120</v>
      </c>
      <c r="P38" s="56" t="s">
        <v>120</v>
      </c>
      <c r="Q38" s="56" t="s">
        <v>154</v>
      </c>
      <c r="R38" s="56" t="s">
        <v>859</v>
      </c>
      <c r="S38" s="56" t="s">
        <v>860</v>
      </c>
      <c r="T38" s="56" t="s">
        <v>861</v>
      </c>
      <c r="U38" s="56" t="s">
        <v>862</v>
      </c>
      <c r="V38" s="56" t="s">
        <v>190</v>
      </c>
      <c r="W38" s="56" t="s">
        <v>863</v>
      </c>
      <c r="X38" s="56" t="s">
        <v>864</v>
      </c>
      <c r="Y38" s="56" t="s">
        <v>865</v>
      </c>
      <c r="Z38" s="56" t="s">
        <v>866</v>
      </c>
      <c r="AA38" s="56" t="s">
        <v>867</v>
      </c>
      <c r="AB38" s="56" t="s">
        <v>847</v>
      </c>
      <c r="AC38" s="56" t="s">
        <v>868</v>
      </c>
      <c r="AD38" s="56" t="s">
        <v>869</v>
      </c>
      <c r="AE38" s="56" t="s">
        <v>870</v>
      </c>
      <c r="AF38" s="56" t="s">
        <v>137</v>
      </c>
      <c r="AG38" s="56" t="s">
        <v>138</v>
      </c>
      <c r="AH38" s="56" t="s">
        <v>138</v>
      </c>
      <c r="AI38" s="56" t="s">
        <v>138</v>
      </c>
      <c r="AJ38" s="56" t="s">
        <v>871</v>
      </c>
      <c r="AK38" s="56" t="s">
        <v>872</v>
      </c>
      <c r="AL38" s="56" t="s">
        <v>873</v>
      </c>
      <c r="AM38" s="56" t="s">
        <v>874</v>
      </c>
      <c r="AN38" s="59" t="s">
        <v>170</v>
      </c>
      <c r="AO38" s="59" t="s">
        <v>271</v>
      </c>
      <c r="AP38" s="50"/>
      <c r="AQ38" s="59" t="s">
        <v>145</v>
      </c>
      <c r="AR38" s="50"/>
      <c r="AS38" s="60" t="s">
        <v>174</v>
      </c>
      <c r="AT38" s="59" t="s">
        <v>875</v>
      </c>
    </row>
    <row r="39" ht="153" spans="1:46">
      <c r="A39" s="55">
        <v>37</v>
      </c>
      <c r="B39" s="56" t="s">
        <v>876</v>
      </c>
      <c r="C39" s="56" t="s">
        <v>877</v>
      </c>
      <c r="D39" s="56" t="s">
        <v>35</v>
      </c>
      <c r="E39" s="57">
        <v>155</v>
      </c>
      <c r="F39" s="57">
        <v>52</v>
      </c>
      <c r="G39" s="58">
        <f t="shared" si="0"/>
        <v>21.6441207075963</v>
      </c>
      <c r="H39" s="56" t="s">
        <v>878</v>
      </c>
      <c r="I39" s="56" t="s">
        <v>879</v>
      </c>
      <c r="J39" s="56" t="s">
        <v>120</v>
      </c>
      <c r="K39" s="56" t="s">
        <v>120</v>
      </c>
      <c r="L39" s="56" t="s">
        <v>120</v>
      </c>
      <c r="M39" s="56" t="s">
        <v>300</v>
      </c>
      <c r="N39" s="56" t="s">
        <v>120</v>
      </c>
      <c r="O39" s="56" t="s">
        <v>120</v>
      </c>
      <c r="P39" s="56" t="s">
        <v>120</v>
      </c>
      <c r="Q39" s="56" t="s">
        <v>450</v>
      </c>
      <c r="R39" s="56" t="s">
        <v>802</v>
      </c>
      <c r="S39" s="56" t="s">
        <v>880</v>
      </c>
      <c r="T39" s="56" t="s">
        <v>881</v>
      </c>
      <c r="U39" s="56" t="s">
        <v>882</v>
      </c>
      <c r="V39" s="56" t="s">
        <v>883</v>
      </c>
      <c r="W39" s="56" t="s">
        <v>129</v>
      </c>
      <c r="X39" s="56" t="s">
        <v>884</v>
      </c>
      <c r="Y39" s="61"/>
      <c r="Z39" s="56" t="s">
        <v>885</v>
      </c>
      <c r="AA39" s="56" t="s">
        <v>787</v>
      </c>
      <c r="AB39" s="56" t="s">
        <v>770</v>
      </c>
      <c r="AC39" s="56" t="s">
        <v>703</v>
      </c>
      <c r="AD39" s="56" t="s">
        <v>886</v>
      </c>
      <c r="AE39" s="61"/>
      <c r="AF39" s="56" t="s">
        <v>173</v>
      </c>
      <c r="AG39" s="56" t="s">
        <v>173</v>
      </c>
      <c r="AH39" s="56" t="s">
        <v>173</v>
      </c>
      <c r="AI39" s="56" t="s">
        <v>173</v>
      </c>
      <c r="AJ39" s="56" t="s">
        <v>887</v>
      </c>
      <c r="AK39" s="61"/>
      <c r="AL39" s="56" t="s">
        <v>375</v>
      </c>
      <c r="AM39" s="56" t="s">
        <v>129</v>
      </c>
      <c r="AN39" s="59" t="s">
        <v>888</v>
      </c>
      <c r="AO39" s="59" t="s">
        <v>171</v>
      </c>
      <c r="AP39" s="59" t="s">
        <v>791</v>
      </c>
      <c r="AQ39" s="59" t="s">
        <v>145</v>
      </c>
      <c r="AR39" s="59" t="s">
        <v>173</v>
      </c>
      <c r="AS39" s="60" t="s">
        <v>174</v>
      </c>
      <c r="AT39" s="59" t="s">
        <v>889</v>
      </c>
    </row>
    <row r="40" ht="89.25" spans="1:46">
      <c r="A40" s="55">
        <v>38</v>
      </c>
      <c r="B40" s="56" t="s">
        <v>890</v>
      </c>
      <c r="C40" s="56" t="s">
        <v>891</v>
      </c>
      <c r="D40" s="56" t="s">
        <v>34</v>
      </c>
      <c r="E40" s="57">
        <v>165</v>
      </c>
      <c r="F40" s="57">
        <v>57</v>
      </c>
      <c r="G40" s="58">
        <f t="shared" si="0"/>
        <v>20.9366391184573</v>
      </c>
      <c r="H40" s="56" t="s">
        <v>426</v>
      </c>
      <c r="I40" s="56" t="s">
        <v>892</v>
      </c>
      <c r="J40" s="56" t="s">
        <v>120</v>
      </c>
      <c r="K40" s="56" t="s">
        <v>120</v>
      </c>
      <c r="L40" s="56" t="s">
        <v>120</v>
      </c>
      <c r="M40" s="56" t="s">
        <v>300</v>
      </c>
      <c r="N40" s="56" t="s">
        <v>120</v>
      </c>
      <c r="O40" s="56" t="s">
        <v>121</v>
      </c>
      <c r="P40" s="56" t="s">
        <v>120</v>
      </c>
      <c r="Q40" s="56" t="s">
        <v>450</v>
      </c>
      <c r="R40" s="56" t="s">
        <v>893</v>
      </c>
      <c r="S40" s="56" t="s">
        <v>894</v>
      </c>
      <c r="T40" s="56" t="s">
        <v>535</v>
      </c>
      <c r="U40" s="56" t="s">
        <v>895</v>
      </c>
      <c r="V40" s="56" t="s">
        <v>375</v>
      </c>
      <c r="W40" s="56" t="s">
        <v>436</v>
      </c>
      <c r="X40" s="56" t="s">
        <v>896</v>
      </c>
      <c r="Y40" s="56" t="s">
        <v>897</v>
      </c>
      <c r="Z40" s="56" t="s">
        <v>214</v>
      </c>
      <c r="AA40" s="56" t="s">
        <v>562</v>
      </c>
      <c r="AB40" s="56" t="s">
        <v>898</v>
      </c>
      <c r="AC40" s="56" t="s">
        <v>372</v>
      </c>
      <c r="AD40" s="56" t="s">
        <v>123</v>
      </c>
      <c r="AE40" s="56" t="s">
        <v>899</v>
      </c>
      <c r="AF40" s="56" t="s">
        <v>137</v>
      </c>
      <c r="AG40" s="56" t="s">
        <v>138</v>
      </c>
      <c r="AH40" s="56" t="s">
        <v>138</v>
      </c>
      <c r="AI40" s="56" t="s">
        <v>138</v>
      </c>
      <c r="AJ40" s="56" t="s">
        <v>900</v>
      </c>
      <c r="AK40" s="56" t="s">
        <v>901</v>
      </c>
      <c r="AL40" s="56" t="s">
        <v>902</v>
      </c>
      <c r="AM40" s="56" t="s">
        <v>267</v>
      </c>
      <c r="AN40" s="59" t="s">
        <v>170</v>
      </c>
      <c r="AO40" s="59" t="s">
        <v>335</v>
      </c>
      <c r="AP40" s="50"/>
      <c r="AQ40" s="59" t="s">
        <v>145</v>
      </c>
      <c r="AR40" s="50"/>
      <c r="AS40" s="60" t="s">
        <v>174</v>
      </c>
      <c r="AT40" s="59" t="s">
        <v>121</v>
      </c>
    </row>
    <row r="41" ht="255" spans="1:46">
      <c r="A41" s="55">
        <v>39</v>
      </c>
      <c r="B41" s="56" t="s">
        <v>903</v>
      </c>
      <c r="C41" s="56" t="s">
        <v>904</v>
      </c>
      <c r="D41" s="56" t="s">
        <v>35</v>
      </c>
      <c r="E41" s="57">
        <v>153</v>
      </c>
      <c r="F41" s="57">
        <v>50</v>
      </c>
      <c r="G41" s="58">
        <f t="shared" si="0"/>
        <v>21.359306249733</v>
      </c>
      <c r="H41" s="56" t="s">
        <v>905</v>
      </c>
      <c r="I41" s="56" t="s">
        <v>700</v>
      </c>
      <c r="J41" s="56" t="s">
        <v>906</v>
      </c>
      <c r="K41" s="56" t="s">
        <v>120</v>
      </c>
      <c r="L41" s="56" t="s">
        <v>120</v>
      </c>
      <c r="M41" s="56" t="s">
        <v>300</v>
      </c>
      <c r="N41" s="56" t="s">
        <v>231</v>
      </c>
      <c r="O41" s="56" t="s">
        <v>121</v>
      </c>
      <c r="P41" s="56" t="s">
        <v>153</v>
      </c>
      <c r="Q41" s="56" t="s">
        <v>154</v>
      </c>
      <c r="R41" s="56" t="s">
        <v>907</v>
      </c>
      <c r="S41" s="56" t="s">
        <v>908</v>
      </c>
      <c r="T41" s="56" t="s">
        <v>909</v>
      </c>
      <c r="U41" s="56" t="s">
        <v>910</v>
      </c>
      <c r="V41" s="56" t="s">
        <v>911</v>
      </c>
      <c r="W41" s="56" t="s">
        <v>912</v>
      </c>
      <c r="X41" s="56" t="s">
        <v>913</v>
      </c>
      <c r="Y41" s="61"/>
      <c r="Z41" s="56" t="s">
        <v>371</v>
      </c>
      <c r="AA41" s="56" t="s">
        <v>914</v>
      </c>
      <c r="AB41" s="56" t="s">
        <v>915</v>
      </c>
      <c r="AC41" s="56" t="s">
        <v>916</v>
      </c>
      <c r="AD41" s="56" t="s">
        <v>917</v>
      </c>
      <c r="AE41" s="61"/>
      <c r="AF41" s="56" t="s">
        <v>439</v>
      </c>
      <c r="AG41" s="56" t="s">
        <v>138</v>
      </c>
      <c r="AH41" s="56" t="s">
        <v>138</v>
      </c>
      <c r="AI41" s="56" t="s">
        <v>138</v>
      </c>
      <c r="AJ41" s="56" t="s">
        <v>602</v>
      </c>
      <c r="AK41" s="61"/>
      <c r="AL41" s="56" t="s">
        <v>159</v>
      </c>
      <c r="AM41" s="56" t="s">
        <v>691</v>
      </c>
      <c r="AN41" s="59" t="s">
        <v>918</v>
      </c>
      <c r="AO41" s="59" t="s">
        <v>919</v>
      </c>
      <c r="AP41" s="59" t="s">
        <v>314</v>
      </c>
      <c r="AQ41" s="59" t="s">
        <v>145</v>
      </c>
      <c r="AR41" s="59" t="s">
        <v>173</v>
      </c>
      <c r="AS41" s="60" t="s">
        <v>174</v>
      </c>
      <c r="AT41" s="59" t="s">
        <v>920</v>
      </c>
    </row>
    <row r="42" ht="102" spans="1:46">
      <c r="A42" s="55">
        <v>40</v>
      </c>
      <c r="B42" s="56" t="s">
        <v>921</v>
      </c>
      <c r="C42" s="56" t="s">
        <v>922</v>
      </c>
      <c r="D42" s="56" t="s">
        <v>35</v>
      </c>
      <c r="E42" s="57">
        <v>163</v>
      </c>
      <c r="F42" s="57">
        <v>62</v>
      </c>
      <c r="G42" s="58">
        <f t="shared" si="0"/>
        <v>23.3354661447552</v>
      </c>
      <c r="H42" s="56" t="s">
        <v>923</v>
      </c>
      <c r="I42" s="56" t="s">
        <v>570</v>
      </c>
      <c r="J42" s="56" t="s">
        <v>120</v>
      </c>
      <c r="K42" s="56" t="s">
        <v>120</v>
      </c>
      <c r="L42" s="56" t="s">
        <v>120</v>
      </c>
      <c r="M42" s="56" t="s">
        <v>120</v>
      </c>
      <c r="N42" s="56" t="s">
        <v>120</v>
      </c>
      <c r="O42" s="56" t="s">
        <v>120</v>
      </c>
      <c r="P42" s="56" t="s">
        <v>701</v>
      </c>
      <c r="Q42" s="56" t="s">
        <v>255</v>
      </c>
      <c r="R42" s="56" t="s">
        <v>924</v>
      </c>
      <c r="S42" s="56" t="s">
        <v>925</v>
      </c>
      <c r="T42" s="56" t="s">
        <v>907</v>
      </c>
      <c r="U42" s="56" t="s">
        <v>926</v>
      </c>
      <c r="V42" s="56" t="s">
        <v>397</v>
      </c>
      <c r="W42" s="56" t="s">
        <v>703</v>
      </c>
      <c r="X42" s="56" t="s">
        <v>927</v>
      </c>
      <c r="Y42" s="61"/>
      <c r="Z42" s="56" t="s">
        <v>928</v>
      </c>
      <c r="AA42" s="56" t="s">
        <v>929</v>
      </c>
      <c r="AB42" s="56" t="s">
        <v>930</v>
      </c>
      <c r="AC42" s="56" t="s">
        <v>931</v>
      </c>
      <c r="AD42" s="56" t="s">
        <v>932</v>
      </c>
      <c r="AE42" s="61"/>
      <c r="AF42" s="56" t="s">
        <v>137</v>
      </c>
      <c r="AG42" s="56" t="s">
        <v>138</v>
      </c>
      <c r="AH42" s="56" t="s">
        <v>138</v>
      </c>
      <c r="AI42" s="56" t="s">
        <v>138</v>
      </c>
      <c r="AJ42" s="56" t="s">
        <v>556</v>
      </c>
      <c r="AK42" s="61"/>
      <c r="AL42" s="56" t="s">
        <v>933</v>
      </c>
      <c r="AM42" s="56" t="s">
        <v>934</v>
      </c>
      <c r="AN42" s="59" t="s">
        <v>888</v>
      </c>
      <c r="AO42" s="59" t="s">
        <v>335</v>
      </c>
      <c r="AP42" s="59" t="s">
        <v>935</v>
      </c>
      <c r="AQ42" s="59" t="s">
        <v>145</v>
      </c>
      <c r="AR42" s="59" t="s">
        <v>173</v>
      </c>
      <c r="AS42" s="60" t="s">
        <v>647</v>
      </c>
      <c r="AT42" s="59" t="s">
        <v>936</v>
      </c>
    </row>
    <row r="43" ht="127.5" spans="1:46">
      <c r="A43" s="55">
        <v>41</v>
      </c>
      <c r="B43" s="56" t="s">
        <v>937</v>
      </c>
      <c r="C43" s="56" t="s">
        <v>938</v>
      </c>
      <c r="D43" s="56" t="s">
        <v>34</v>
      </c>
      <c r="E43" s="57">
        <v>164</v>
      </c>
      <c r="F43" s="57">
        <v>62</v>
      </c>
      <c r="G43" s="58">
        <f t="shared" si="0"/>
        <v>23.051754907793</v>
      </c>
      <c r="H43" s="56" t="s">
        <v>939</v>
      </c>
      <c r="I43" s="56" t="s">
        <v>828</v>
      </c>
      <c r="J43" s="56" t="s">
        <v>120</v>
      </c>
      <c r="K43" s="56" t="s">
        <v>120</v>
      </c>
      <c r="L43" s="56" t="s">
        <v>120</v>
      </c>
      <c r="M43" s="56" t="s">
        <v>940</v>
      </c>
      <c r="N43" s="56" t="s">
        <v>231</v>
      </c>
      <c r="O43" s="56" t="s">
        <v>121</v>
      </c>
      <c r="P43" s="56" t="s">
        <v>120</v>
      </c>
      <c r="Q43" s="56" t="s">
        <v>154</v>
      </c>
      <c r="R43" s="56" t="s">
        <v>453</v>
      </c>
      <c r="S43" s="56" t="s">
        <v>941</v>
      </c>
      <c r="T43" s="56" t="s">
        <v>942</v>
      </c>
      <c r="U43" s="56" t="s">
        <v>943</v>
      </c>
      <c r="V43" s="56" t="s">
        <v>782</v>
      </c>
      <c r="W43" s="56" t="s">
        <v>944</v>
      </c>
      <c r="X43" s="56" t="s">
        <v>516</v>
      </c>
      <c r="Y43" s="56" t="s">
        <v>945</v>
      </c>
      <c r="Z43" s="56" t="s">
        <v>946</v>
      </c>
      <c r="AA43" s="56" t="s">
        <v>396</v>
      </c>
      <c r="AB43" s="56" t="s">
        <v>947</v>
      </c>
      <c r="AC43" s="56" t="s">
        <v>948</v>
      </c>
      <c r="AD43" s="56" t="s">
        <v>303</v>
      </c>
      <c r="AE43" s="56" t="s">
        <v>949</v>
      </c>
      <c r="AF43" s="56" t="s">
        <v>137</v>
      </c>
      <c r="AG43" s="56" t="s">
        <v>138</v>
      </c>
      <c r="AH43" s="56" t="s">
        <v>138</v>
      </c>
      <c r="AI43" s="56" t="s">
        <v>138</v>
      </c>
      <c r="AJ43" s="56" t="s">
        <v>245</v>
      </c>
      <c r="AK43" s="56" t="s">
        <v>950</v>
      </c>
      <c r="AL43" s="56" t="s">
        <v>951</v>
      </c>
      <c r="AM43" s="56" t="s">
        <v>952</v>
      </c>
      <c r="AN43" s="59" t="s">
        <v>170</v>
      </c>
      <c r="AO43" s="59" t="s">
        <v>953</v>
      </c>
      <c r="AP43" s="50"/>
      <c r="AQ43" s="59" t="s">
        <v>145</v>
      </c>
      <c r="AR43" s="50"/>
      <c r="AS43" s="60" t="s">
        <v>146</v>
      </c>
      <c r="AT43" s="59" t="s">
        <v>954</v>
      </c>
    </row>
    <row r="44" ht="191.25" spans="1:46">
      <c r="A44" s="55">
        <v>42</v>
      </c>
      <c r="B44" s="56" t="s">
        <v>955</v>
      </c>
      <c r="C44" s="56" t="s">
        <v>956</v>
      </c>
      <c r="D44" s="56" t="s">
        <v>34</v>
      </c>
      <c r="E44" s="57">
        <v>179</v>
      </c>
      <c r="F44" s="57">
        <v>83</v>
      </c>
      <c r="G44" s="58">
        <f t="shared" si="0"/>
        <v>25.9043101026809</v>
      </c>
      <c r="H44" s="56" t="s">
        <v>957</v>
      </c>
      <c r="I44" s="56" t="s">
        <v>298</v>
      </c>
      <c r="J44" s="56" t="s">
        <v>120</v>
      </c>
      <c r="K44" s="56" t="s">
        <v>958</v>
      </c>
      <c r="L44" s="56" t="s">
        <v>120</v>
      </c>
      <c r="M44" s="56" t="s">
        <v>120</v>
      </c>
      <c r="N44" s="56" t="s">
        <v>959</v>
      </c>
      <c r="O44" s="56" t="s">
        <v>121</v>
      </c>
      <c r="P44" s="56" t="s">
        <v>120</v>
      </c>
      <c r="Q44" s="56" t="s">
        <v>255</v>
      </c>
      <c r="R44" s="56" t="s">
        <v>907</v>
      </c>
      <c r="S44" s="56" t="s">
        <v>960</v>
      </c>
      <c r="T44" s="56" t="s">
        <v>961</v>
      </c>
      <c r="U44" s="56" t="s">
        <v>962</v>
      </c>
      <c r="V44" s="56" t="s">
        <v>365</v>
      </c>
      <c r="W44" s="56" t="s">
        <v>767</v>
      </c>
      <c r="X44" s="56" t="s">
        <v>561</v>
      </c>
      <c r="Y44" s="56" t="s">
        <v>432</v>
      </c>
      <c r="Z44" s="56" t="s">
        <v>963</v>
      </c>
      <c r="AA44" s="56" t="s">
        <v>964</v>
      </c>
      <c r="AB44" s="56" t="s">
        <v>928</v>
      </c>
      <c r="AC44" s="56" t="s">
        <v>349</v>
      </c>
      <c r="AD44" s="56" t="s">
        <v>965</v>
      </c>
      <c r="AE44" s="56" t="s">
        <v>966</v>
      </c>
      <c r="AF44" s="56" t="s">
        <v>137</v>
      </c>
      <c r="AG44" s="56" t="s">
        <v>138</v>
      </c>
      <c r="AH44" s="56" t="s">
        <v>138</v>
      </c>
      <c r="AI44" s="56" t="s">
        <v>138</v>
      </c>
      <c r="AJ44" s="56" t="s">
        <v>804</v>
      </c>
      <c r="AK44" s="56" t="s">
        <v>967</v>
      </c>
      <c r="AL44" s="56" t="s">
        <v>282</v>
      </c>
      <c r="AM44" s="56" t="s">
        <v>968</v>
      </c>
      <c r="AN44" s="59" t="s">
        <v>969</v>
      </c>
      <c r="AO44" s="59" t="s">
        <v>970</v>
      </c>
      <c r="AP44" s="50"/>
      <c r="AQ44" s="59" t="s">
        <v>145</v>
      </c>
      <c r="AR44" s="50"/>
      <c r="AS44" s="60" t="s">
        <v>146</v>
      </c>
      <c r="AT44" s="59" t="s">
        <v>971</v>
      </c>
    </row>
    <row r="45" ht="102" spans="1:46">
      <c r="A45" s="55">
        <v>43</v>
      </c>
      <c r="B45" s="56" t="s">
        <v>972</v>
      </c>
      <c r="C45" s="56" t="s">
        <v>973</v>
      </c>
      <c r="D45" s="56" t="s">
        <v>35</v>
      </c>
      <c r="E45" s="57">
        <v>160</v>
      </c>
      <c r="F45" s="57">
        <v>55</v>
      </c>
      <c r="G45" s="58">
        <f t="shared" si="0"/>
        <v>21.484375</v>
      </c>
      <c r="H45" s="56" t="s">
        <v>974</v>
      </c>
      <c r="I45" s="56" t="s">
        <v>799</v>
      </c>
      <c r="J45" s="56" t="s">
        <v>120</v>
      </c>
      <c r="K45" s="56" t="s">
        <v>120</v>
      </c>
      <c r="L45" s="56" t="s">
        <v>120</v>
      </c>
      <c r="M45" s="56" t="s">
        <v>120</v>
      </c>
      <c r="N45" s="56" t="s">
        <v>120</v>
      </c>
      <c r="O45" s="56" t="s">
        <v>120</v>
      </c>
      <c r="P45" s="56" t="s">
        <v>254</v>
      </c>
      <c r="Q45" s="56" t="s">
        <v>154</v>
      </c>
      <c r="R45" s="56" t="s">
        <v>975</v>
      </c>
      <c r="S45" s="56" t="s">
        <v>279</v>
      </c>
      <c r="T45" s="56" t="s">
        <v>976</v>
      </c>
      <c r="U45" s="56" t="s">
        <v>977</v>
      </c>
      <c r="V45" s="56" t="s">
        <v>978</v>
      </c>
      <c r="W45" s="56" t="s">
        <v>323</v>
      </c>
      <c r="X45" s="56" t="s">
        <v>788</v>
      </c>
      <c r="Y45" s="61"/>
      <c r="Z45" s="56" t="s">
        <v>979</v>
      </c>
      <c r="AA45" s="56" t="s">
        <v>980</v>
      </c>
      <c r="AB45" s="56" t="s">
        <v>981</v>
      </c>
      <c r="AC45" s="56" t="s">
        <v>982</v>
      </c>
      <c r="AD45" s="56" t="s">
        <v>563</v>
      </c>
      <c r="AE45" s="61"/>
      <c r="AF45" s="56" t="s">
        <v>137</v>
      </c>
      <c r="AG45" s="56" t="s">
        <v>138</v>
      </c>
      <c r="AH45" s="56" t="s">
        <v>138</v>
      </c>
      <c r="AI45" s="56" t="s">
        <v>138</v>
      </c>
      <c r="AJ45" s="56" t="s">
        <v>185</v>
      </c>
      <c r="AK45" s="61"/>
      <c r="AL45" s="56" t="s">
        <v>983</v>
      </c>
      <c r="AM45" s="56" t="s">
        <v>984</v>
      </c>
      <c r="AN45" s="59" t="s">
        <v>170</v>
      </c>
      <c r="AO45" s="59" t="s">
        <v>335</v>
      </c>
      <c r="AP45" s="59" t="s">
        <v>314</v>
      </c>
      <c r="AQ45" s="59" t="s">
        <v>145</v>
      </c>
      <c r="AR45" s="59" t="s">
        <v>173</v>
      </c>
      <c r="AS45" s="60" t="s">
        <v>146</v>
      </c>
      <c r="AT45" s="59" t="s">
        <v>985</v>
      </c>
    </row>
    <row r="46" ht="165.75" spans="1:46">
      <c r="A46" s="55">
        <v>44</v>
      </c>
      <c r="B46" s="56" t="s">
        <v>986</v>
      </c>
      <c r="C46" s="56" t="s">
        <v>987</v>
      </c>
      <c r="D46" s="56" t="s">
        <v>35</v>
      </c>
      <c r="E46" s="57">
        <v>165</v>
      </c>
      <c r="F46" s="57">
        <v>60</v>
      </c>
      <c r="G46" s="58">
        <f t="shared" si="0"/>
        <v>22.038567493113</v>
      </c>
      <c r="H46" s="56" t="s">
        <v>988</v>
      </c>
      <c r="I46" s="56" t="s">
        <v>469</v>
      </c>
      <c r="J46" s="56" t="s">
        <v>120</v>
      </c>
      <c r="K46" s="56" t="s">
        <v>120</v>
      </c>
      <c r="L46" s="56" t="s">
        <v>120</v>
      </c>
      <c r="M46" s="56" t="s">
        <v>120</v>
      </c>
      <c r="N46" s="56" t="s">
        <v>120</v>
      </c>
      <c r="O46" s="56" t="s">
        <v>120</v>
      </c>
      <c r="P46" s="56" t="s">
        <v>120</v>
      </c>
      <c r="Q46" s="56" t="s">
        <v>122</v>
      </c>
      <c r="R46" s="56" t="s">
        <v>989</v>
      </c>
      <c r="S46" s="56" t="s">
        <v>990</v>
      </c>
      <c r="T46" s="56" t="s">
        <v>991</v>
      </c>
      <c r="U46" s="56" t="s">
        <v>992</v>
      </c>
      <c r="V46" s="56" t="s">
        <v>375</v>
      </c>
      <c r="W46" s="56" t="s">
        <v>993</v>
      </c>
      <c r="X46" s="56" t="s">
        <v>994</v>
      </c>
      <c r="Y46" s="61"/>
      <c r="Z46" s="56" t="s">
        <v>995</v>
      </c>
      <c r="AA46" s="56" t="s">
        <v>375</v>
      </c>
      <c r="AB46" s="56" t="s">
        <v>996</v>
      </c>
      <c r="AC46" s="56" t="s">
        <v>997</v>
      </c>
      <c r="AD46" s="56" t="s">
        <v>998</v>
      </c>
      <c r="AE46" s="61"/>
      <c r="AF46" s="56" t="s">
        <v>137</v>
      </c>
      <c r="AG46" s="56" t="s">
        <v>138</v>
      </c>
      <c r="AH46" s="56" t="s">
        <v>138</v>
      </c>
      <c r="AI46" s="56" t="s">
        <v>138</v>
      </c>
      <c r="AJ46" s="56" t="s">
        <v>900</v>
      </c>
      <c r="AK46" s="61"/>
      <c r="AL46" s="56" t="s">
        <v>999</v>
      </c>
      <c r="AM46" s="56" t="s">
        <v>869</v>
      </c>
      <c r="AN46" s="59" t="s">
        <v>851</v>
      </c>
      <c r="AO46" s="59" t="s">
        <v>1000</v>
      </c>
      <c r="AP46" s="59" t="s">
        <v>626</v>
      </c>
      <c r="AQ46" s="59" t="s">
        <v>1001</v>
      </c>
      <c r="AR46" s="59" t="s">
        <v>173</v>
      </c>
      <c r="AS46" s="60" t="s">
        <v>174</v>
      </c>
      <c r="AT46" s="59" t="s">
        <v>1002</v>
      </c>
    </row>
    <row r="47" ht="204" spans="1:46">
      <c r="A47" s="55">
        <v>45</v>
      </c>
      <c r="B47" s="56" t="s">
        <v>1003</v>
      </c>
      <c r="C47" s="56" t="s">
        <v>1004</v>
      </c>
      <c r="D47" s="56" t="s">
        <v>34</v>
      </c>
      <c r="E47" s="57">
        <v>163</v>
      </c>
      <c r="F47" s="57">
        <v>77</v>
      </c>
      <c r="G47" s="58">
        <f t="shared" si="0"/>
        <v>28.9811434378411</v>
      </c>
      <c r="H47" s="56" t="s">
        <v>1005</v>
      </c>
      <c r="I47" s="56" t="s">
        <v>1006</v>
      </c>
      <c r="J47" s="56" t="s">
        <v>1007</v>
      </c>
      <c r="K47" s="56" t="s">
        <v>120</v>
      </c>
      <c r="L47" s="56" t="s">
        <v>120</v>
      </c>
      <c r="M47" s="56" t="s">
        <v>300</v>
      </c>
      <c r="N47" s="56" t="s">
        <v>120</v>
      </c>
      <c r="O47" s="56" t="s">
        <v>121</v>
      </c>
      <c r="P47" s="56" t="s">
        <v>120</v>
      </c>
      <c r="Q47" s="56" t="s">
        <v>122</v>
      </c>
      <c r="R47" s="56" t="s">
        <v>1008</v>
      </c>
      <c r="S47" s="56" t="s">
        <v>1009</v>
      </c>
      <c r="T47" s="56" t="s">
        <v>1010</v>
      </c>
      <c r="U47" s="56" t="s">
        <v>1011</v>
      </c>
      <c r="V47" s="56" t="s">
        <v>1012</v>
      </c>
      <c r="W47" s="56" t="s">
        <v>913</v>
      </c>
      <c r="X47" s="56" t="s">
        <v>333</v>
      </c>
      <c r="Y47" s="56" t="s">
        <v>1013</v>
      </c>
      <c r="Z47" s="56" t="s">
        <v>1014</v>
      </c>
      <c r="AA47" s="56" t="s">
        <v>1015</v>
      </c>
      <c r="AB47" s="56" t="s">
        <v>1016</v>
      </c>
      <c r="AC47" s="56" t="s">
        <v>1017</v>
      </c>
      <c r="AD47" s="56" t="s">
        <v>773</v>
      </c>
      <c r="AE47" s="56" t="s">
        <v>1018</v>
      </c>
      <c r="AF47" s="56" t="s">
        <v>137</v>
      </c>
      <c r="AG47" s="56" t="s">
        <v>138</v>
      </c>
      <c r="AH47" s="56" t="s">
        <v>138</v>
      </c>
      <c r="AI47" s="56" t="s">
        <v>138</v>
      </c>
      <c r="AJ47" s="56" t="s">
        <v>1019</v>
      </c>
      <c r="AK47" s="56" t="s">
        <v>1020</v>
      </c>
      <c r="AL47" s="56" t="s">
        <v>1021</v>
      </c>
      <c r="AM47" s="56" t="s">
        <v>671</v>
      </c>
      <c r="AN47" s="59" t="s">
        <v>1022</v>
      </c>
      <c r="AO47" s="59" t="s">
        <v>1023</v>
      </c>
      <c r="AP47" s="50"/>
      <c r="AQ47" s="59" t="s">
        <v>145</v>
      </c>
      <c r="AR47" s="50"/>
      <c r="AS47" s="60" t="s">
        <v>647</v>
      </c>
      <c r="AT47" s="59" t="s">
        <v>1024</v>
      </c>
    </row>
    <row r="48" ht="114.75" spans="1:46">
      <c r="A48" s="55">
        <v>46</v>
      </c>
      <c r="B48" s="56" t="s">
        <v>1025</v>
      </c>
      <c r="C48" s="56" t="s">
        <v>1026</v>
      </c>
      <c r="D48" s="56" t="s">
        <v>34</v>
      </c>
      <c r="E48" s="57">
        <v>164</v>
      </c>
      <c r="F48" s="57">
        <v>64</v>
      </c>
      <c r="G48" s="58">
        <f t="shared" si="0"/>
        <v>23.7953599048186</v>
      </c>
      <c r="H48" s="56" t="s">
        <v>1027</v>
      </c>
      <c r="I48" s="56" t="s">
        <v>469</v>
      </c>
      <c r="J48" s="56" t="s">
        <v>120</v>
      </c>
      <c r="K48" s="56" t="s">
        <v>120</v>
      </c>
      <c r="L48" s="56" t="s">
        <v>120</v>
      </c>
      <c r="M48" s="56" t="s">
        <v>120</v>
      </c>
      <c r="N48" s="56" t="s">
        <v>120</v>
      </c>
      <c r="O48" s="56" t="s">
        <v>121</v>
      </c>
      <c r="P48" s="56" t="s">
        <v>120</v>
      </c>
      <c r="Q48" s="56" t="s">
        <v>450</v>
      </c>
      <c r="R48" s="56" t="s">
        <v>1028</v>
      </c>
      <c r="S48" s="56" t="s">
        <v>1029</v>
      </c>
      <c r="T48" s="56" t="s">
        <v>909</v>
      </c>
      <c r="U48" s="56" t="s">
        <v>388</v>
      </c>
      <c r="V48" s="56" t="s">
        <v>1012</v>
      </c>
      <c r="W48" s="56" t="s">
        <v>218</v>
      </c>
      <c r="X48" s="56" t="s">
        <v>1030</v>
      </c>
      <c r="Y48" s="56" t="s">
        <v>1031</v>
      </c>
      <c r="Z48" s="56" t="s">
        <v>1032</v>
      </c>
      <c r="AA48" s="56" t="s">
        <v>1033</v>
      </c>
      <c r="AB48" s="56" t="s">
        <v>1034</v>
      </c>
      <c r="AC48" s="56" t="s">
        <v>1035</v>
      </c>
      <c r="AD48" s="56" t="s">
        <v>1036</v>
      </c>
      <c r="AE48" s="56" t="s">
        <v>1037</v>
      </c>
      <c r="AF48" s="56" t="s">
        <v>137</v>
      </c>
      <c r="AG48" s="56" t="s">
        <v>138</v>
      </c>
      <c r="AH48" s="56" t="s">
        <v>138</v>
      </c>
      <c r="AI48" s="56" t="s">
        <v>138</v>
      </c>
      <c r="AJ48" s="56" t="s">
        <v>871</v>
      </c>
      <c r="AK48" s="56" t="s">
        <v>1038</v>
      </c>
      <c r="AL48" s="56" t="s">
        <v>246</v>
      </c>
      <c r="AM48" s="56" t="s">
        <v>642</v>
      </c>
      <c r="AN48" s="59" t="s">
        <v>888</v>
      </c>
      <c r="AO48" s="59" t="s">
        <v>1039</v>
      </c>
      <c r="AP48" s="50"/>
      <c r="AQ48" s="59" t="s">
        <v>145</v>
      </c>
      <c r="AR48" s="50"/>
      <c r="AS48" s="60" t="s">
        <v>174</v>
      </c>
      <c r="AT48" s="59" t="s">
        <v>1040</v>
      </c>
    </row>
    <row r="49" ht="165.75" spans="1:46">
      <c r="A49" s="55">
        <v>47</v>
      </c>
      <c r="B49" s="56" t="s">
        <v>1041</v>
      </c>
      <c r="C49" s="56" t="s">
        <v>1042</v>
      </c>
      <c r="D49" s="56" t="s">
        <v>34</v>
      </c>
      <c r="E49" s="57">
        <v>171</v>
      </c>
      <c r="F49" s="57">
        <v>78</v>
      </c>
      <c r="G49" s="58">
        <f t="shared" si="0"/>
        <v>26.6748743203037</v>
      </c>
      <c r="H49" s="56" t="s">
        <v>1043</v>
      </c>
      <c r="I49" s="56" t="s">
        <v>298</v>
      </c>
      <c r="J49" s="56" t="s">
        <v>120</v>
      </c>
      <c r="K49" s="56" t="s">
        <v>120</v>
      </c>
      <c r="L49" s="56" t="s">
        <v>120</v>
      </c>
      <c r="M49" s="56" t="s">
        <v>152</v>
      </c>
      <c r="N49" s="56" t="s">
        <v>120</v>
      </c>
      <c r="O49" s="56" t="s">
        <v>1044</v>
      </c>
      <c r="P49" s="56" t="s">
        <v>120</v>
      </c>
      <c r="Q49" s="56" t="s">
        <v>154</v>
      </c>
      <c r="R49" s="56" t="s">
        <v>407</v>
      </c>
      <c r="S49" s="56" t="s">
        <v>1045</v>
      </c>
      <c r="T49" s="56" t="s">
        <v>1046</v>
      </c>
      <c r="U49" s="56" t="s">
        <v>636</v>
      </c>
      <c r="V49" s="56" t="s">
        <v>539</v>
      </c>
      <c r="W49" s="56" t="s">
        <v>1047</v>
      </c>
      <c r="X49" s="56" t="s">
        <v>1048</v>
      </c>
      <c r="Y49" s="56" t="s">
        <v>1049</v>
      </c>
      <c r="Z49" s="56" t="s">
        <v>1050</v>
      </c>
      <c r="AA49" s="56" t="s">
        <v>311</v>
      </c>
      <c r="AB49" s="56" t="s">
        <v>1051</v>
      </c>
      <c r="AC49" s="56" t="s">
        <v>984</v>
      </c>
      <c r="AD49" s="56" t="s">
        <v>1052</v>
      </c>
      <c r="AE49" s="56" t="s">
        <v>1053</v>
      </c>
      <c r="AF49" s="56" t="s">
        <v>137</v>
      </c>
      <c r="AG49" s="56" t="s">
        <v>138</v>
      </c>
      <c r="AH49" s="56" t="s">
        <v>138</v>
      </c>
      <c r="AI49" s="56" t="s">
        <v>138</v>
      </c>
      <c r="AJ49" s="56" t="s">
        <v>871</v>
      </c>
      <c r="AK49" s="56" t="s">
        <v>1054</v>
      </c>
      <c r="AL49" s="56" t="s">
        <v>483</v>
      </c>
      <c r="AM49" s="56" t="s">
        <v>998</v>
      </c>
      <c r="AN49" s="59" t="s">
        <v>918</v>
      </c>
      <c r="AO49" s="59" t="s">
        <v>271</v>
      </c>
      <c r="AP49" s="50"/>
      <c r="AQ49" s="59" t="s">
        <v>145</v>
      </c>
      <c r="AR49" s="50"/>
      <c r="AS49" s="60" t="s">
        <v>174</v>
      </c>
      <c r="AT49" s="59" t="s">
        <v>1055</v>
      </c>
    </row>
    <row r="50" ht="165.75" spans="1:46">
      <c r="A50" s="55">
        <v>48</v>
      </c>
      <c r="B50" s="56" t="s">
        <v>1056</v>
      </c>
      <c r="C50" s="56" t="s">
        <v>1057</v>
      </c>
      <c r="D50" s="56" t="s">
        <v>34</v>
      </c>
      <c r="E50" s="57">
        <v>173</v>
      </c>
      <c r="F50" s="57">
        <v>80</v>
      </c>
      <c r="G50" s="58">
        <f t="shared" si="0"/>
        <v>26.7299274950717</v>
      </c>
      <c r="H50" s="56" t="s">
        <v>839</v>
      </c>
      <c r="I50" s="56" t="s">
        <v>253</v>
      </c>
      <c r="J50" s="56" t="s">
        <v>120</v>
      </c>
      <c r="K50" s="56" t="s">
        <v>120</v>
      </c>
      <c r="L50" s="56" t="s">
        <v>120</v>
      </c>
      <c r="M50" s="56" t="s">
        <v>120</v>
      </c>
      <c r="N50" s="56" t="s">
        <v>120</v>
      </c>
      <c r="O50" s="56" t="s">
        <v>121</v>
      </c>
      <c r="P50" s="56" t="s">
        <v>120</v>
      </c>
      <c r="Q50" s="56" t="s">
        <v>122</v>
      </c>
      <c r="R50" s="56" t="s">
        <v>1052</v>
      </c>
      <c r="S50" s="56" t="s">
        <v>1058</v>
      </c>
      <c r="T50" s="56" t="s">
        <v>1059</v>
      </c>
      <c r="U50" s="56" t="s">
        <v>1060</v>
      </c>
      <c r="V50" s="56" t="s">
        <v>539</v>
      </c>
      <c r="W50" s="56" t="s">
        <v>1061</v>
      </c>
      <c r="X50" s="56" t="s">
        <v>884</v>
      </c>
      <c r="Y50" s="56" t="s">
        <v>1062</v>
      </c>
      <c r="Z50" s="56" t="s">
        <v>1063</v>
      </c>
      <c r="AA50" s="56" t="s">
        <v>459</v>
      </c>
      <c r="AB50" s="56" t="s">
        <v>1064</v>
      </c>
      <c r="AC50" s="56" t="s">
        <v>1065</v>
      </c>
      <c r="AD50" s="56" t="s">
        <v>932</v>
      </c>
      <c r="AE50" s="56" t="s">
        <v>1066</v>
      </c>
      <c r="AF50" s="56" t="s">
        <v>137</v>
      </c>
      <c r="AG50" s="56" t="s">
        <v>138</v>
      </c>
      <c r="AH50" s="56" t="s">
        <v>138</v>
      </c>
      <c r="AI50" s="56" t="s">
        <v>138</v>
      </c>
      <c r="AJ50" s="56" t="s">
        <v>397</v>
      </c>
      <c r="AK50" s="56" t="s">
        <v>218</v>
      </c>
      <c r="AL50" s="56" t="s">
        <v>518</v>
      </c>
      <c r="AM50" s="56" t="s">
        <v>1067</v>
      </c>
      <c r="AN50" s="59" t="s">
        <v>170</v>
      </c>
      <c r="AO50" s="59" t="s">
        <v>1068</v>
      </c>
      <c r="AP50" s="50"/>
      <c r="AQ50" s="59" t="s">
        <v>145</v>
      </c>
      <c r="AR50" s="50"/>
      <c r="AS50" s="60" t="s">
        <v>174</v>
      </c>
      <c r="AT50" s="59" t="s">
        <v>1069</v>
      </c>
    </row>
    <row r="51" ht="140.25" spans="1:46">
      <c r="A51" s="55">
        <v>49</v>
      </c>
      <c r="B51" s="56" t="s">
        <v>1070</v>
      </c>
      <c r="C51" s="56" t="s">
        <v>1071</v>
      </c>
      <c r="D51" s="56" t="s">
        <v>34</v>
      </c>
      <c r="E51" s="57">
        <v>170</v>
      </c>
      <c r="F51" s="57">
        <v>90</v>
      </c>
      <c r="G51" s="58">
        <f t="shared" si="0"/>
        <v>31.1418685121107</v>
      </c>
      <c r="H51" s="56" t="s">
        <v>1072</v>
      </c>
      <c r="I51" s="56" t="s">
        <v>179</v>
      </c>
      <c r="J51" s="56" t="s">
        <v>120</v>
      </c>
      <c r="K51" s="56" t="s">
        <v>120</v>
      </c>
      <c r="L51" s="56" t="s">
        <v>120</v>
      </c>
      <c r="M51" s="56" t="s">
        <v>858</v>
      </c>
      <c r="N51" s="56" t="s">
        <v>120</v>
      </c>
      <c r="O51" s="56" t="s">
        <v>121</v>
      </c>
      <c r="P51" s="56" t="s">
        <v>120</v>
      </c>
      <c r="Q51" s="56" t="s">
        <v>122</v>
      </c>
      <c r="R51" s="56" t="s">
        <v>125</v>
      </c>
      <c r="S51" s="56" t="s">
        <v>1073</v>
      </c>
      <c r="T51" s="56" t="s">
        <v>1074</v>
      </c>
      <c r="U51" s="56" t="s">
        <v>1075</v>
      </c>
      <c r="V51" s="56" t="s">
        <v>1076</v>
      </c>
      <c r="W51" s="56" t="s">
        <v>1077</v>
      </c>
      <c r="X51" s="56" t="s">
        <v>638</v>
      </c>
      <c r="Y51" s="56" t="s">
        <v>1078</v>
      </c>
      <c r="Z51" s="56" t="s">
        <v>1079</v>
      </c>
      <c r="AA51" s="56" t="s">
        <v>665</v>
      </c>
      <c r="AB51" s="56" t="s">
        <v>1080</v>
      </c>
      <c r="AC51" s="56" t="s">
        <v>288</v>
      </c>
      <c r="AD51" s="56" t="s">
        <v>1081</v>
      </c>
      <c r="AE51" s="56" t="s">
        <v>1082</v>
      </c>
      <c r="AF51" s="56" t="s">
        <v>137</v>
      </c>
      <c r="AG51" s="56" t="s">
        <v>138</v>
      </c>
      <c r="AH51" s="56" t="s">
        <v>138</v>
      </c>
      <c r="AI51" s="56" t="s">
        <v>138</v>
      </c>
      <c r="AJ51" s="56" t="s">
        <v>782</v>
      </c>
      <c r="AK51" s="56" t="s">
        <v>1083</v>
      </c>
      <c r="AL51" s="56" t="s">
        <v>1084</v>
      </c>
      <c r="AM51" s="56" t="s">
        <v>788</v>
      </c>
      <c r="AN51" s="59" t="s">
        <v>170</v>
      </c>
      <c r="AO51" s="59" t="s">
        <v>271</v>
      </c>
      <c r="AP51" s="50"/>
      <c r="AQ51" s="59" t="s">
        <v>145</v>
      </c>
      <c r="AR51" s="50"/>
      <c r="AS51" s="60" t="s">
        <v>647</v>
      </c>
      <c r="AT51" s="59" t="s">
        <v>1085</v>
      </c>
    </row>
    <row r="52" ht="191.25" spans="1:46">
      <c r="A52" s="55">
        <v>50</v>
      </c>
      <c r="B52" s="56" t="s">
        <v>1086</v>
      </c>
      <c r="C52" s="56" t="s">
        <v>1087</v>
      </c>
      <c r="D52" s="56" t="s">
        <v>34</v>
      </c>
      <c r="E52" s="57">
        <v>170</v>
      </c>
      <c r="F52" s="57">
        <v>67</v>
      </c>
      <c r="G52" s="58">
        <f t="shared" si="0"/>
        <v>23.1833910034602</v>
      </c>
      <c r="H52" s="56" t="s">
        <v>252</v>
      </c>
      <c r="I52" s="56" t="s">
        <v>879</v>
      </c>
      <c r="J52" s="56" t="s">
        <v>120</v>
      </c>
      <c r="K52" s="56" t="s">
        <v>120</v>
      </c>
      <c r="L52" s="56" t="s">
        <v>718</v>
      </c>
      <c r="M52" s="56" t="s">
        <v>152</v>
      </c>
      <c r="N52" s="56" t="s">
        <v>120</v>
      </c>
      <c r="O52" s="56" t="s">
        <v>120</v>
      </c>
      <c r="P52" s="56" t="s">
        <v>120</v>
      </c>
      <c r="Q52" s="56" t="s">
        <v>122</v>
      </c>
      <c r="R52" s="56" t="s">
        <v>123</v>
      </c>
      <c r="S52" s="56" t="s">
        <v>655</v>
      </c>
      <c r="T52" s="56" t="s">
        <v>1088</v>
      </c>
      <c r="U52" s="56" t="s">
        <v>1089</v>
      </c>
      <c r="V52" s="56" t="s">
        <v>455</v>
      </c>
      <c r="W52" s="56" t="s">
        <v>859</v>
      </c>
      <c r="X52" s="56" t="s">
        <v>773</v>
      </c>
      <c r="Y52" s="56" t="s">
        <v>1090</v>
      </c>
      <c r="Z52" s="56" t="s">
        <v>287</v>
      </c>
      <c r="AA52" s="56" t="s">
        <v>1091</v>
      </c>
      <c r="AB52" s="56" t="s">
        <v>1092</v>
      </c>
      <c r="AC52" s="56" t="s">
        <v>1093</v>
      </c>
      <c r="AD52" s="56" t="s">
        <v>964</v>
      </c>
      <c r="AE52" s="56" t="s">
        <v>1094</v>
      </c>
      <c r="AF52" s="56" t="s">
        <v>137</v>
      </c>
      <c r="AG52" s="56" t="s">
        <v>138</v>
      </c>
      <c r="AH52" s="56" t="s">
        <v>138</v>
      </c>
      <c r="AI52" s="56" t="s">
        <v>138</v>
      </c>
      <c r="AJ52" s="56" t="s">
        <v>562</v>
      </c>
      <c r="AK52" s="56" t="s">
        <v>1095</v>
      </c>
      <c r="AL52" s="56" t="s">
        <v>246</v>
      </c>
      <c r="AM52" s="56" t="s">
        <v>874</v>
      </c>
      <c r="AN52" s="59" t="s">
        <v>1096</v>
      </c>
      <c r="AO52" s="59" t="s">
        <v>1097</v>
      </c>
      <c r="AP52" s="50"/>
      <c r="AQ52" s="59" t="s">
        <v>145</v>
      </c>
      <c r="AR52" s="50"/>
      <c r="AS52" s="60" t="s">
        <v>174</v>
      </c>
      <c r="AT52" s="59" t="s">
        <v>1098</v>
      </c>
    </row>
    <row r="53" ht="178.5" spans="1:46">
      <c r="A53" s="55">
        <v>51</v>
      </c>
      <c r="B53" s="56" t="s">
        <v>1099</v>
      </c>
      <c r="C53" s="56" t="s">
        <v>1100</v>
      </c>
      <c r="D53" s="56" t="s">
        <v>35</v>
      </c>
      <c r="E53" s="57">
        <v>161</v>
      </c>
      <c r="F53" s="57">
        <v>59</v>
      </c>
      <c r="G53" s="58">
        <f t="shared" si="0"/>
        <v>22.7614675359747</v>
      </c>
      <c r="H53" s="56" t="s">
        <v>1101</v>
      </c>
      <c r="I53" s="56" t="s">
        <v>570</v>
      </c>
      <c r="J53" s="56" t="s">
        <v>120</v>
      </c>
      <c r="K53" s="56" t="s">
        <v>120</v>
      </c>
      <c r="L53" s="56" t="s">
        <v>120</v>
      </c>
      <c r="M53" s="56" t="s">
        <v>1102</v>
      </c>
      <c r="N53" s="56" t="s">
        <v>120</v>
      </c>
      <c r="O53" s="56" t="s">
        <v>120</v>
      </c>
      <c r="P53" s="56" t="s">
        <v>254</v>
      </c>
      <c r="Q53" s="56" t="s">
        <v>154</v>
      </c>
      <c r="R53" s="56" t="s">
        <v>868</v>
      </c>
      <c r="S53" s="56" t="s">
        <v>1103</v>
      </c>
      <c r="T53" s="56" t="s">
        <v>1104</v>
      </c>
      <c r="U53" s="56" t="s">
        <v>1105</v>
      </c>
      <c r="V53" s="56" t="s">
        <v>434</v>
      </c>
      <c r="W53" s="56" t="s">
        <v>499</v>
      </c>
      <c r="X53" s="56" t="s">
        <v>1106</v>
      </c>
      <c r="Y53" s="61"/>
      <c r="Z53" s="56" t="s">
        <v>1107</v>
      </c>
      <c r="AA53" s="56" t="s">
        <v>983</v>
      </c>
      <c r="AB53" s="56" t="s">
        <v>1108</v>
      </c>
      <c r="AC53" s="56" t="s">
        <v>246</v>
      </c>
      <c r="AD53" s="56" t="s">
        <v>1109</v>
      </c>
      <c r="AE53" s="61"/>
      <c r="AF53" s="56" t="s">
        <v>137</v>
      </c>
      <c r="AG53" s="56" t="s">
        <v>138</v>
      </c>
      <c r="AH53" s="56" t="s">
        <v>501</v>
      </c>
      <c r="AI53" s="56" t="s">
        <v>771</v>
      </c>
      <c r="AJ53" s="56" t="s">
        <v>139</v>
      </c>
      <c r="AK53" s="61"/>
      <c r="AL53" s="56" t="s">
        <v>665</v>
      </c>
      <c r="AM53" s="56" t="s">
        <v>1110</v>
      </c>
      <c r="AN53" s="59" t="s">
        <v>851</v>
      </c>
      <c r="AO53" s="59" t="s">
        <v>335</v>
      </c>
      <c r="AP53" s="59" t="s">
        <v>172</v>
      </c>
      <c r="AQ53" s="59" t="s">
        <v>145</v>
      </c>
      <c r="AR53" s="59" t="s">
        <v>173</v>
      </c>
      <c r="AS53" s="60" t="s">
        <v>146</v>
      </c>
      <c r="AT53" s="59" t="s">
        <v>1111</v>
      </c>
    </row>
    <row r="54" ht="89.25" spans="1:46">
      <c r="A54" s="55">
        <v>52</v>
      </c>
      <c r="B54" s="56" t="s">
        <v>1112</v>
      </c>
      <c r="C54" s="56" t="s">
        <v>1113</v>
      </c>
      <c r="D54" s="56" t="s">
        <v>34</v>
      </c>
      <c r="E54" s="57">
        <v>160</v>
      </c>
      <c r="F54" s="57">
        <v>58</v>
      </c>
      <c r="G54" s="58">
        <f t="shared" si="0"/>
        <v>22.65625</v>
      </c>
      <c r="H54" s="56" t="s">
        <v>1114</v>
      </c>
      <c r="I54" s="56" t="s">
        <v>779</v>
      </c>
      <c r="J54" s="56" t="s">
        <v>120</v>
      </c>
      <c r="K54" s="56" t="s">
        <v>120</v>
      </c>
      <c r="L54" s="56" t="s">
        <v>1115</v>
      </c>
      <c r="M54" s="56" t="s">
        <v>152</v>
      </c>
      <c r="N54" s="56" t="s">
        <v>610</v>
      </c>
      <c r="O54" s="56" t="s">
        <v>121</v>
      </c>
      <c r="P54" s="56" t="s">
        <v>120</v>
      </c>
      <c r="Q54" s="56" t="s">
        <v>122</v>
      </c>
      <c r="R54" s="56" t="s">
        <v>417</v>
      </c>
      <c r="S54" s="56" t="s">
        <v>1116</v>
      </c>
      <c r="T54" s="56" t="s">
        <v>1117</v>
      </c>
      <c r="U54" s="56" t="s">
        <v>1118</v>
      </c>
      <c r="V54" s="56" t="s">
        <v>305</v>
      </c>
      <c r="W54" s="56" t="s">
        <v>1119</v>
      </c>
      <c r="X54" s="56" t="s">
        <v>499</v>
      </c>
      <c r="Y54" s="56" t="s">
        <v>1120</v>
      </c>
      <c r="Z54" s="56" t="s">
        <v>1107</v>
      </c>
      <c r="AA54" s="56" t="s">
        <v>887</v>
      </c>
      <c r="AB54" s="56" t="s">
        <v>1121</v>
      </c>
      <c r="AC54" s="56" t="s">
        <v>1122</v>
      </c>
      <c r="AD54" s="56" t="s">
        <v>1123</v>
      </c>
      <c r="AE54" s="56" t="s">
        <v>899</v>
      </c>
      <c r="AF54" s="56" t="s">
        <v>137</v>
      </c>
      <c r="AG54" s="56" t="s">
        <v>138</v>
      </c>
      <c r="AH54" s="56" t="s">
        <v>138</v>
      </c>
      <c r="AI54" s="56" t="s">
        <v>138</v>
      </c>
      <c r="AJ54" s="56" t="s">
        <v>1124</v>
      </c>
      <c r="AK54" s="56" t="s">
        <v>1125</v>
      </c>
      <c r="AL54" s="56" t="s">
        <v>1126</v>
      </c>
      <c r="AM54" s="56" t="s">
        <v>1127</v>
      </c>
      <c r="AN54" s="59" t="s">
        <v>170</v>
      </c>
      <c r="AO54" s="59" t="s">
        <v>335</v>
      </c>
      <c r="AP54" s="50"/>
      <c r="AQ54" s="59" t="s">
        <v>145</v>
      </c>
      <c r="AR54" s="50"/>
      <c r="AS54" s="60" t="s">
        <v>174</v>
      </c>
      <c r="AT54" s="59" t="s">
        <v>1128</v>
      </c>
    </row>
    <row r="55" ht="165.75" spans="1:46">
      <c r="A55" s="55">
        <v>53</v>
      </c>
      <c r="B55" s="56" t="s">
        <v>1129</v>
      </c>
      <c r="C55" s="56" t="s">
        <v>1130</v>
      </c>
      <c r="D55" s="56" t="s">
        <v>35</v>
      </c>
      <c r="E55" s="57">
        <v>158</v>
      </c>
      <c r="F55" s="57">
        <v>68</v>
      </c>
      <c r="G55" s="58">
        <f t="shared" si="0"/>
        <v>27.2392244832559</v>
      </c>
      <c r="H55" s="56" t="s">
        <v>1131</v>
      </c>
      <c r="I55" s="56" t="s">
        <v>230</v>
      </c>
      <c r="J55" s="56" t="s">
        <v>120</v>
      </c>
      <c r="K55" s="56" t="s">
        <v>120</v>
      </c>
      <c r="L55" s="56" t="s">
        <v>120</v>
      </c>
      <c r="M55" s="56" t="s">
        <v>120</v>
      </c>
      <c r="N55" s="56" t="s">
        <v>120</v>
      </c>
      <c r="O55" s="56" t="s">
        <v>120</v>
      </c>
      <c r="P55" s="56" t="s">
        <v>1132</v>
      </c>
      <c r="Q55" s="56" t="s">
        <v>154</v>
      </c>
      <c r="R55" s="56" t="s">
        <v>1133</v>
      </c>
      <c r="S55" s="56" t="s">
        <v>1134</v>
      </c>
      <c r="T55" s="56" t="s">
        <v>1135</v>
      </c>
      <c r="U55" s="56" t="s">
        <v>1136</v>
      </c>
      <c r="V55" s="56" t="s">
        <v>1137</v>
      </c>
      <c r="W55" s="56" t="s">
        <v>1138</v>
      </c>
      <c r="X55" s="56" t="s">
        <v>1139</v>
      </c>
      <c r="Y55" s="61"/>
      <c r="Z55" s="56" t="s">
        <v>1140</v>
      </c>
      <c r="AA55" s="56" t="s">
        <v>329</v>
      </c>
      <c r="AB55" s="56" t="s">
        <v>1107</v>
      </c>
      <c r="AC55" s="56" t="s">
        <v>1141</v>
      </c>
      <c r="AD55" s="56" t="s">
        <v>821</v>
      </c>
      <c r="AE55" s="61"/>
      <c r="AF55" s="56" t="s">
        <v>137</v>
      </c>
      <c r="AG55" s="56" t="s">
        <v>138</v>
      </c>
      <c r="AH55" s="56" t="s">
        <v>501</v>
      </c>
      <c r="AI55" s="56" t="s">
        <v>138</v>
      </c>
      <c r="AJ55" s="56" t="s">
        <v>621</v>
      </c>
      <c r="AK55" s="61"/>
      <c r="AL55" s="56" t="s">
        <v>1142</v>
      </c>
      <c r="AM55" s="56" t="s">
        <v>431</v>
      </c>
      <c r="AN55" s="59" t="s">
        <v>170</v>
      </c>
      <c r="AO55" s="59" t="s">
        <v>1143</v>
      </c>
      <c r="AP55" s="59" t="s">
        <v>1144</v>
      </c>
      <c r="AQ55" s="59" t="s">
        <v>145</v>
      </c>
      <c r="AR55" s="59" t="s">
        <v>173</v>
      </c>
      <c r="AS55" s="60" t="s">
        <v>174</v>
      </c>
      <c r="AT55" s="59" t="s">
        <v>1145</v>
      </c>
    </row>
    <row r="56" ht="127.5" spans="1:46">
      <c r="A56" s="55">
        <v>54</v>
      </c>
      <c r="B56" s="56" t="s">
        <v>1146</v>
      </c>
      <c r="C56" s="56" t="s">
        <v>1147</v>
      </c>
      <c r="D56" s="56" t="s">
        <v>34</v>
      </c>
      <c r="E56" s="57">
        <v>168</v>
      </c>
      <c r="F56" s="57">
        <v>65</v>
      </c>
      <c r="G56" s="58">
        <f t="shared" si="0"/>
        <v>23.0300453514739</v>
      </c>
      <c r="H56" s="56" t="s">
        <v>1148</v>
      </c>
      <c r="I56" s="56" t="s">
        <v>700</v>
      </c>
      <c r="J56" s="56" t="s">
        <v>120</v>
      </c>
      <c r="K56" s="56" t="s">
        <v>120</v>
      </c>
      <c r="L56" s="56" t="s">
        <v>120</v>
      </c>
      <c r="M56" s="56" t="s">
        <v>152</v>
      </c>
      <c r="N56" s="56" t="s">
        <v>120</v>
      </c>
      <c r="O56" s="56" t="s">
        <v>1149</v>
      </c>
      <c r="P56" s="56" t="s">
        <v>120</v>
      </c>
      <c r="Q56" s="56" t="s">
        <v>154</v>
      </c>
      <c r="R56" s="56" t="s">
        <v>1015</v>
      </c>
      <c r="S56" s="56" t="s">
        <v>941</v>
      </c>
      <c r="T56" s="56" t="s">
        <v>1150</v>
      </c>
      <c r="U56" s="56" t="s">
        <v>1151</v>
      </c>
      <c r="V56" s="56" t="s">
        <v>603</v>
      </c>
      <c r="W56" s="56" t="s">
        <v>965</v>
      </c>
      <c r="X56" s="56" t="s">
        <v>685</v>
      </c>
      <c r="Y56" s="56" t="s">
        <v>1152</v>
      </c>
      <c r="Z56" s="56" t="s">
        <v>1153</v>
      </c>
      <c r="AA56" s="56" t="s">
        <v>1154</v>
      </c>
      <c r="AB56" s="56" t="s">
        <v>1155</v>
      </c>
      <c r="AC56" s="56" t="s">
        <v>1156</v>
      </c>
      <c r="AD56" s="56" t="s">
        <v>1157</v>
      </c>
      <c r="AE56" s="56" t="s">
        <v>1158</v>
      </c>
      <c r="AF56" s="56" t="s">
        <v>137</v>
      </c>
      <c r="AG56" s="56" t="s">
        <v>138</v>
      </c>
      <c r="AH56" s="56" t="s">
        <v>138</v>
      </c>
      <c r="AI56" s="56" t="s">
        <v>138</v>
      </c>
      <c r="AJ56" s="56" t="s">
        <v>783</v>
      </c>
      <c r="AK56" s="56" t="s">
        <v>1159</v>
      </c>
      <c r="AL56" s="56" t="s">
        <v>1095</v>
      </c>
      <c r="AM56" s="56" t="s">
        <v>306</v>
      </c>
      <c r="AN56" s="59" t="s">
        <v>170</v>
      </c>
      <c r="AO56" s="59" t="s">
        <v>1160</v>
      </c>
      <c r="AP56" s="50"/>
      <c r="AQ56" s="59" t="s">
        <v>145</v>
      </c>
      <c r="AR56" s="50"/>
      <c r="AS56" s="60" t="s">
        <v>174</v>
      </c>
      <c r="AT56" s="59" t="s">
        <v>1161</v>
      </c>
    </row>
    <row r="57" ht="102" spans="1:46">
      <c r="A57" s="55">
        <v>55</v>
      </c>
      <c r="B57" s="56" t="s">
        <v>1162</v>
      </c>
      <c r="C57" s="56" t="s">
        <v>1163</v>
      </c>
      <c r="D57" s="56" t="s">
        <v>34</v>
      </c>
      <c r="E57" s="57">
        <v>177</v>
      </c>
      <c r="F57" s="57">
        <v>70</v>
      </c>
      <c r="G57" s="58">
        <f t="shared" si="0"/>
        <v>22.343515592582</v>
      </c>
      <c r="H57" s="56" t="s">
        <v>1164</v>
      </c>
      <c r="I57" s="56" t="s">
        <v>119</v>
      </c>
      <c r="J57" s="56" t="s">
        <v>120</v>
      </c>
      <c r="K57" s="56" t="s">
        <v>120</v>
      </c>
      <c r="L57" s="56" t="s">
        <v>120</v>
      </c>
      <c r="M57" s="56" t="s">
        <v>1165</v>
      </c>
      <c r="N57" s="56" t="s">
        <v>120</v>
      </c>
      <c r="O57" s="56" t="s">
        <v>120</v>
      </c>
      <c r="P57" s="56" t="s">
        <v>120</v>
      </c>
      <c r="Q57" s="56" t="s">
        <v>154</v>
      </c>
      <c r="R57" s="56" t="s">
        <v>267</v>
      </c>
      <c r="S57" s="56" t="s">
        <v>1166</v>
      </c>
      <c r="T57" s="56" t="s">
        <v>1167</v>
      </c>
      <c r="U57" s="56" t="s">
        <v>1168</v>
      </c>
      <c r="V57" s="56" t="s">
        <v>1124</v>
      </c>
      <c r="W57" s="56" t="s">
        <v>993</v>
      </c>
      <c r="X57" s="56" t="s">
        <v>1169</v>
      </c>
      <c r="Y57" s="56" t="s">
        <v>1170</v>
      </c>
      <c r="Z57" s="56" t="s">
        <v>870</v>
      </c>
      <c r="AA57" s="56" t="s">
        <v>1171</v>
      </c>
      <c r="AB57" s="56" t="s">
        <v>1172</v>
      </c>
      <c r="AC57" s="56" t="s">
        <v>618</v>
      </c>
      <c r="AD57" s="56" t="s">
        <v>1173</v>
      </c>
      <c r="AE57" s="56" t="s">
        <v>1174</v>
      </c>
      <c r="AF57" s="56" t="s">
        <v>137</v>
      </c>
      <c r="AG57" s="56" t="s">
        <v>138</v>
      </c>
      <c r="AH57" s="56" t="s">
        <v>138</v>
      </c>
      <c r="AI57" s="56" t="s">
        <v>138</v>
      </c>
      <c r="AJ57" s="56" t="s">
        <v>167</v>
      </c>
      <c r="AK57" s="56" t="s">
        <v>1175</v>
      </c>
      <c r="AL57" s="56" t="s">
        <v>1176</v>
      </c>
      <c r="AM57" s="56" t="s">
        <v>1177</v>
      </c>
      <c r="AN57" s="59" t="s">
        <v>170</v>
      </c>
      <c r="AO57" s="59" t="s">
        <v>335</v>
      </c>
      <c r="AP57" s="50"/>
      <c r="AQ57" s="59" t="s">
        <v>145</v>
      </c>
      <c r="AR57" s="50"/>
      <c r="AS57" s="60" t="s">
        <v>174</v>
      </c>
      <c r="AT57" s="59" t="s">
        <v>1178</v>
      </c>
    </row>
    <row r="58" ht="191.25" spans="1:46">
      <c r="A58" s="55">
        <v>56</v>
      </c>
      <c r="B58" s="56" t="s">
        <v>1179</v>
      </c>
      <c r="C58" s="56" t="s">
        <v>1180</v>
      </c>
      <c r="D58" s="56" t="s">
        <v>34</v>
      </c>
      <c r="E58" s="57">
        <v>165</v>
      </c>
      <c r="F58" s="57">
        <v>80</v>
      </c>
      <c r="G58" s="58">
        <f t="shared" si="0"/>
        <v>29.3847566574839</v>
      </c>
      <c r="H58" s="56" t="s">
        <v>1181</v>
      </c>
      <c r="I58" s="56" t="s">
        <v>1182</v>
      </c>
      <c r="J58" s="56" t="s">
        <v>120</v>
      </c>
      <c r="K58" s="56" t="s">
        <v>1183</v>
      </c>
      <c r="L58" s="56" t="s">
        <v>120</v>
      </c>
      <c r="M58" s="56" t="s">
        <v>120</v>
      </c>
      <c r="N58" s="56" t="s">
        <v>120</v>
      </c>
      <c r="O58" s="56" t="s">
        <v>121</v>
      </c>
      <c r="P58" s="56" t="s">
        <v>120</v>
      </c>
      <c r="Q58" s="56" t="s">
        <v>450</v>
      </c>
      <c r="R58" s="56" t="s">
        <v>1036</v>
      </c>
      <c r="S58" s="56" t="s">
        <v>1184</v>
      </c>
      <c r="T58" s="56" t="s">
        <v>1185</v>
      </c>
      <c r="U58" s="56" t="s">
        <v>1186</v>
      </c>
      <c r="V58" s="56" t="s">
        <v>411</v>
      </c>
      <c r="W58" s="56" t="s">
        <v>691</v>
      </c>
      <c r="X58" s="56" t="s">
        <v>516</v>
      </c>
      <c r="Y58" s="56" t="s">
        <v>1187</v>
      </c>
      <c r="Z58" s="56" t="s">
        <v>1188</v>
      </c>
      <c r="AA58" s="56" t="s">
        <v>1189</v>
      </c>
      <c r="AB58" s="56" t="s">
        <v>1190</v>
      </c>
      <c r="AC58" s="56" t="s">
        <v>1191</v>
      </c>
      <c r="AD58" s="56" t="s">
        <v>373</v>
      </c>
      <c r="AE58" s="56" t="s">
        <v>1192</v>
      </c>
      <c r="AF58" s="56" t="s">
        <v>137</v>
      </c>
      <c r="AG58" s="56" t="s">
        <v>138</v>
      </c>
      <c r="AH58" s="56" t="s">
        <v>138</v>
      </c>
      <c r="AI58" s="56" t="s">
        <v>138</v>
      </c>
      <c r="AJ58" s="56" t="s">
        <v>900</v>
      </c>
      <c r="AK58" s="56" t="s">
        <v>1193</v>
      </c>
      <c r="AL58" s="56" t="s">
        <v>1194</v>
      </c>
      <c r="AM58" s="56" t="s">
        <v>1195</v>
      </c>
      <c r="AN58" s="59" t="s">
        <v>1196</v>
      </c>
      <c r="AO58" s="59" t="s">
        <v>1197</v>
      </c>
      <c r="AP58" s="50"/>
      <c r="AQ58" s="59" t="s">
        <v>145</v>
      </c>
      <c r="AR58" s="50"/>
      <c r="AS58" s="60" t="s">
        <v>647</v>
      </c>
      <c r="AT58" s="59" t="s">
        <v>1198</v>
      </c>
    </row>
    <row r="59" ht="127.5" spans="1:46">
      <c r="A59" s="55">
        <v>57</v>
      </c>
      <c r="B59" s="56" t="s">
        <v>1199</v>
      </c>
      <c r="C59" s="56" t="s">
        <v>1200</v>
      </c>
      <c r="D59" s="56" t="s">
        <v>34</v>
      </c>
      <c r="E59" s="57">
        <v>169</v>
      </c>
      <c r="F59" s="57">
        <v>63</v>
      </c>
      <c r="G59" s="58">
        <f t="shared" si="0"/>
        <v>22.0580511886839</v>
      </c>
      <c r="H59" s="56" t="s">
        <v>490</v>
      </c>
      <c r="I59" s="56" t="s">
        <v>1201</v>
      </c>
      <c r="J59" s="56" t="s">
        <v>120</v>
      </c>
      <c r="K59" s="56" t="s">
        <v>1202</v>
      </c>
      <c r="L59" s="56" t="s">
        <v>120</v>
      </c>
      <c r="M59" s="56" t="s">
        <v>120</v>
      </c>
      <c r="N59" s="56" t="s">
        <v>120</v>
      </c>
      <c r="O59" s="56" t="s">
        <v>120</v>
      </c>
      <c r="P59" s="56" t="s">
        <v>120</v>
      </c>
      <c r="Q59" s="56" t="s">
        <v>122</v>
      </c>
      <c r="R59" s="56" t="s">
        <v>187</v>
      </c>
      <c r="S59" s="56" t="s">
        <v>1045</v>
      </c>
      <c r="T59" s="56" t="s">
        <v>1203</v>
      </c>
      <c r="U59" s="56" t="s">
        <v>1204</v>
      </c>
      <c r="V59" s="56" t="s">
        <v>1205</v>
      </c>
      <c r="W59" s="56" t="s">
        <v>531</v>
      </c>
      <c r="X59" s="56" t="s">
        <v>413</v>
      </c>
      <c r="Y59" s="56" t="s">
        <v>1206</v>
      </c>
      <c r="Z59" s="56" t="s">
        <v>1207</v>
      </c>
      <c r="AA59" s="56" t="s">
        <v>658</v>
      </c>
      <c r="AB59" s="56" t="s">
        <v>1208</v>
      </c>
      <c r="AC59" s="56" t="s">
        <v>288</v>
      </c>
      <c r="AD59" s="56" t="s">
        <v>476</v>
      </c>
      <c r="AE59" s="56" t="s">
        <v>1209</v>
      </c>
      <c r="AF59" s="56" t="s">
        <v>137</v>
      </c>
      <c r="AG59" s="56" t="s">
        <v>138</v>
      </c>
      <c r="AH59" s="56" t="s">
        <v>138</v>
      </c>
      <c r="AI59" s="56" t="s">
        <v>138</v>
      </c>
      <c r="AJ59" s="56" t="s">
        <v>347</v>
      </c>
      <c r="AK59" s="56" t="s">
        <v>556</v>
      </c>
      <c r="AL59" s="56" t="s">
        <v>1159</v>
      </c>
      <c r="AM59" s="56" t="s">
        <v>1210</v>
      </c>
      <c r="AN59" s="59" t="s">
        <v>1211</v>
      </c>
      <c r="AO59" s="59" t="s">
        <v>335</v>
      </c>
      <c r="AP59" s="50"/>
      <c r="AQ59" s="59" t="s">
        <v>145</v>
      </c>
      <c r="AR59" s="50"/>
      <c r="AS59" s="60" t="s">
        <v>174</v>
      </c>
      <c r="AT59" s="59" t="s">
        <v>1212</v>
      </c>
    </row>
    <row r="60" ht="114.75" spans="1:46">
      <c r="A60" s="55">
        <v>58</v>
      </c>
      <c r="B60" s="56" t="s">
        <v>1213</v>
      </c>
      <c r="C60" s="56" t="s">
        <v>1214</v>
      </c>
      <c r="D60" s="56" t="s">
        <v>35</v>
      </c>
      <c r="E60" s="57">
        <v>158</v>
      </c>
      <c r="F60" s="57">
        <v>56</v>
      </c>
      <c r="G60" s="58">
        <f t="shared" si="0"/>
        <v>22.4323025156225</v>
      </c>
      <c r="H60" s="56" t="s">
        <v>252</v>
      </c>
      <c r="I60" s="56" t="s">
        <v>570</v>
      </c>
      <c r="J60" s="56" t="s">
        <v>120</v>
      </c>
      <c r="K60" s="56" t="s">
        <v>1215</v>
      </c>
      <c r="L60" s="56" t="s">
        <v>120</v>
      </c>
      <c r="M60" s="56" t="s">
        <v>300</v>
      </c>
      <c r="N60" s="56" t="s">
        <v>120</v>
      </c>
      <c r="O60" s="56" t="s">
        <v>120</v>
      </c>
      <c r="P60" s="56" t="s">
        <v>120</v>
      </c>
      <c r="Q60" s="56" t="s">
        <v>154</v>
      </c>
      <c r="R60" s="56" t="s">
        <v>557</v>
      </c>
      <c r="S60" s="56" t="s">
        <v>860</v>
      </c>
      <c r="T60" s="56" t="s">
        <v>1216</v>
      </c>
      <c r="U60" s="56" t="s">
        <v>1217</v>
      </c>
      <c r="V60" s="56" t="s">
        <v>558</v>
      </c>
      <c r="W60" s="56" t="s">
        <v>933</v>
      </c>
      <c r="X60" s="56" t="s">
        <v>927</v>
      </c>
      <c r="Y60" s="61"/>
      <c r="Z60" s="56" t="s">
        <v>1218</v>
      </c>
      <c r="AA60" s="56" t="s">
        <v>1091</v>
      </c>
      <c r="AB60" s="56" t="s">
        <v>1219</v>
      </c>
      <c r="AC60" s="56" t="s">
        <v>1126</v>
      </c>
      <c r="AD60" s="56" t="s">
        <v>212</v>
      </c>
      <c r="AE60" s="61"/>
      <c r="AF60" s="56" t="s">
        <v>173</v>
      </c>
      <c r="AG60" s="56" t="s">
        <v>173</v>
      </c>
      <c r="AH60" s="56" t="s">
        <v>173</v>
      </c>
      <c r="AI60" s="56" t="s">
        <v>173</v>
      </c>
      <c r="AJ60" s="56" t="s">
        <v>887</v>
      </c>
      <c r="AK60" s="61"/>
      <c r="AL60" s="56" t="s">
        <v>1220</v>
      </c>
      <c r="AM60" s="56" t="s">
        <v>437</v>
      </c>
      <c r="AN60" s="59" t="s">
        <v>504</v>
      </c>
      <c r="AO60" s="59" t="s">
        <v>1221</v>
      </c>
      <c r="AP60" s="59" t="s">
        <v>314</v>
      </c>
      <c r="AQ60" s="59" t="s">
        <v>145</v>
      </c>
      <c r="AR60" s="59" t="s">
        <v>173</v>
      </c>
      <c r="AS60" s="60" t="s">
        <v>174</v>
      </c>
      <c r="AT60" s="59" t="s">
        <v>1222</v>
      </c>
    </row>
    <row r="61" ht="114.75" spans="1:46">
      <c r="A61" s="55">
        <v>59</v>
      </c>
      <c r="B61" s="56" t="s">
        <v>1223</v>
      </c>
      <c r="C61" s="56" t="s">
        <v>1224</v>
      </c>
      <c r="D61" s="56" t="s">
        <v>34</v>
      </c>
      <c r="E61" s="57">
        <v>161</v>
      </c>
      <c r="F61" s="57">
        <v>65</v>
      </c>
      <c r="G61" s="58">
        <f t="shared" si="0"/>
        <v>25.0761930481077</v>
      </c>
      <c r="H61" s="56" t="s">
        <v>1225</v>
      </c>
      <c r="I61" s="56" t="s">
        <v>812</v>
      </c>
      <c r="J61" s="56" t="s">
        <v>120</v>
      </c>
      <c r="K61" s="56" t="s">
        <v>120</v>
      </c>
      <c r="L61" s="56" t="s">
        <v>120</v>
      </c>
      <c r="M61" s="56" t="s">
        <v>120</v>
      </c>
      <c r="N61" s="56" t="s">
        <v>120</v>
      </c>
      <c r="O61" s="56" t="s">
        <v>121</v>
      </c>
      <c r="P61" s="56" t="s">
        <v>120</v>
      </c>
      <c r="Q61" s="56" t="s">
        <v>122</v>
      </c>
      <c r="R61" s="56" t="s">
        <v>620</v>
      </c>
      <c r="S61" s="56" t="s">
        <v>1029</v>
      </c>
      <c r="T61" s="56" t="s">
        <v>596</v>
      </c>
      <c r="U61" s="56" t="s">
        <v>1226</v>
      </c>
      <c r="V61" s="56" t="s">
        <v>603</v>
      </c>
      <c r="W61" s="56" t="s">
        <v>453</v>
      </c>
      <c r="X61" s="56" t="s">
        <v>893</v>
      </c>
      <c r="Y61" s="56" t="s">
        <v>1227</v>
      </c>
      <c r="Z61" s="56" t="s">
        <v>458</v>
      </c>
      <c r="AA61" s="56" t="s">
        <v>602</v>
      </c>
      <c r="AB61" s="56" t="s">
        <v>928</v>
      </c>
      <c r="AC61" s="56" t="s">
        <v>1228</v>
      </c>
      <c r="AD61" s="56" t="s">
        <v>1028</v>
      </c>
      <c r="AE61" s="56" t="s">
        <v>1229</v>
      </c>
      <c r="AF61" s="56" t="s">
        <v>137</v>
      </c>
      <c r="AG61" s="56" t="s">
        <v>138</v>
      </c>
      <c r="AH61" s="56" t="s">
        <v>138</v>
      </c>
      <c r="AI61" s="56" t="s">
        <v>138</v>
      </c>
      <c r="AJ61" s="56" t="s">
        <v>1171</v>
      </c>
      <c r="AK61" s="56" t="s">
        <v>1230</v>
      </c>
      <c r="AL61" s="56" t="s">
        <v>1231</v>
      </c>
      <c r="AM61" s="56" t="s">
        <v>1232</v>
      </c>
      <c r="AN61" s="59" t="s">
        <v>1233</v>
      </c>
      <c r="AO61" s="59" t="s">
        <v>335</v>
      </c>
      <c r="AP61" s="50"/>
      <c r="AQ61" s="59" t="s">
        <v>145</v>
      </c>
      <c r="AR61" s="50"/>
      <c r="AS61" s="60" t="s">
        <v>174</v>
      </c>
      <c r="AT61" s="59" t="s">
        <v>1234</v>
      </c>
    </row>
    <row r="62" ht="89.25" spans="1:46">
      <c r="A62" s="55">
        <v>60</v>
      </c>
      <c r="B62" s="56" t="s">
        <v>1235</v>
      </c>
      <c r="C62" s="56" t="s">
        <v>1236</v>
      </c>
      <c r="D62" s="56" t="s">
        <v>34</v>
      </c>
      <c r="E62" s="57">
        <v>165</v>
      </c>
      <c r="F62" s="57">
        <v>63</v>
      </c>
      <c r="G62" s="58">
        <f t="shared" si="0"/>
        <v>23.1404958677686</v>
      </c>
      <c r="H62" s="56" t="s">
        <v>1237</v>
      </c>
      <c r="I62" s="56" t="s">
        <v>151</v>
      </c>
      <c r="J62" s="56" t="s">
        <v>120</v>
      </c>
      <c r="K62" s="56" t="s">
        <v>120</v>
      </c>
      <c r="L62" s="56" t="s">
        <v>120</v>
      </c>
      <c r="M62" s="56" t="s">
        <v>120</v>
      </c>
      <c r="N62" s="56" t="s">
        <v>120</v>
      </c>
      <c r="O62" s="56" t="s">
        <v>121</v>
      </c>
      <c r="P62" s="56" t="s">
        <v>120</v>
      </c>
      <c r="Q62" s="56" t="s">
        <v>450</v>
      </c>
      <c r="R62" s="56" t="s">
        <v>1238</v>
      </c>
      <c r="S62" s="56" t="s">
        <v>1239</v>
      </c>
      <c r="T62" s="56" t="s">
        <v>1240</v>
      </c>
      <c r="U62" s="56" t="s">
        <v>1241</v>
      </c>
      <c r="V62" s="56" t="s">
        <v>127</v>
      </c>
      <c r="W62" s="56" t="s">
        <v>453</v>
      </c>
      <c r="X62" s="56" t="s">
        <v>310</v>
      </c>
      <c r="Y62" s="56" t="s">
        <v>1242</v>
      </c>
      <c r="Z62" s="56" t="s">
        <v>1243</v>
      </c>
      <c r="AA62" s="56" t="s">
        <v>1244</v>
      </c>
      <c r="AB62" s="56" t="s">
        <v>1245</v>
      </c>
      <c r="AC62" s="56" t="s">
        <v>1244</v>
      </c>
      <c r="AD62" s="56" t="s">
        <v>398</v>
      </c>
      <c r="AE62" s="56" t="s">
        <v>1246</v>
      </c>
      <c r="AF62" s="56" t="s">
        <v>137</v>
      </c>
      <c r="AG62" s="56" t="s">
        <v>138</v>
      </c>
      <c r="AH62" s="56" t="s">
        <v>138</v>
      </c>
      <c r="AI62" s="56" t="s">
        <v>138</v>
      </c>
      <c r="AJ62" s="56" t="s">
        <v>1091</v>
      </c>
      <c r="AK62" s="56" t="s">
        <v>1247</v>
      </c>
      <c r="AL62" s="56" t="s">
        <v>1248</v>
      </c>
      <c r="AM62" s="56" t="s">
        <v>1249</v>
      </c>
      <c r="AN62" s="59" t="s">
        <v>170</v>
      </c>
      <c r="AO62" s="59" t="s">
        <v>354</v>
      </c>
      <c r="AP62" s="50"/>
      <c r="AQ62" s="59" t="s">
        <v>145</v>
      </c>
      <c r="AR62" s="50"/>
      <c r="AS62" s="60" t="s">
        <v>174</v>
      </c>
      <c r="AT62" s="59" t="s">
        <v>1250</v>
      </c>
    </row>
    <row r="63" ht="178.5" spans="1:46">
      <c r="A63" s="55">
        <v>61</v>
      </c>
      <c r="B63" s="56" t="s">
        <v>1251</v>
      </c>
      <c r="C63" s="56" t="s">
        <v>1252</v>
      </c>
      <c r="D63" s="56" t="s">
        <v>34</v>
      </c>
      <c r="E63" s="57">
        <v>171</v>
      </c>
      <c r="F63" s="57">
        <v>65</v>
      </c>
      <c r="G63" s="58">
        <f t="shared" si="0"/>
        <v>22.2290619335864</v>
      </c>
      <c r="H63" s="56" t="s">
        <v>1253</v>
      </c>
      <c r="I63" s="56" t="s">
        <v>179</v>
      </c>
      <c r="J63" s="56" t="s">
        <v>120</v>
      </c>
      <c r="K63" s="56" t="s">
        <v>120</v>
      </c>
      <c r="L63" s="56" t="s">
        <v>120</v>
      </c>
      <c r="M63" s="56" t="s">
        <v>120</v>
      </c>
      <c r="N63" s="56" t="s">
        <v>120</v>
      </c>
      <c r="O63" s="56" t="s">
        <v>680</v>
      </c>
      <c r="P63" s="56" t="s">
        <v>120</v>
      </c>
      <c r="Q63" s="56" t="s">
        <v>122</v>
      </c>
      <c r="R63" s="56" t="s">
        <v>1254</v>
      </c>
      <c r="S63" s="56" t="s">
        <v>1255</v>
      </c>
      <c r="T63" s="56" t="s">
        <v>1256</v>
      </c>
      <c r="U63" s="56" t="s">
        <v>1257</v>
      </c>
      <c r="V63" s="56" t="s">
        <v>329</v>
      </c>
      <c r="W63" s="56" t="s">
        <v>475</v>
      </c>
      <c r="X63" s="56" t="s">
        <v>927</v>
      </c>
      <c r="Y63" s="56" t="s">
        <v>1258</v>
      </c>
      <c r="Z63" s="56" t="s">
        <v>519</v>
      </c>
      <c r="AA63" s="56" t="s">
        <v>1084</v>
      </c>
      <c r="AB63" s="56" t="s">
        <v>1259</v>
      </c>
      <c r="AC63" s="56" t="s">
        <v>1260</v>
      </c>
      <c r="AD63" s="56" t="s">
        <v>198</v>
      </c>
      <c r="AE63" s="56" t="s">
        <v>1261</v>
      </c>
      <c r="AF63" s="56" t="s">
        <v>137</v>
      </c>
      <c r="AG63" s="56" t="s">
        <v>138</v>
      </c>
      <c r="AH63" s="56" t="s">
        <v>138</v>
      </c>
      <c r="AI63" s="56" t="s">
        <v>138</v>
      </c>
      <c r="AJ63" s="56" t="s">
        <v>269</v>
      </c>
      <c r="AK63" s="56" t="s">
        <v>1262</v>
      </c>
      <c r="AL63" s="56" t="s">
        <v>978</v>
      </c>
      <c r="AM63" s="56" t="s">
        <v>186</v>
      </c>
      <c r="AN63" s="59" t="s">
        <v>334</v>
      </c>
      <c r="AO63" s="59" t="s">
        <v>1263</v>
      </c>
      <c r="AP63" s="50"/>
      <c r="AQ63" s="59" t="s">
        <v>145</v>
      </c>
      <c r="AR63" s="50"/>
      <c r="AS63" s="60" t="s">
        <v>174</v>
      </c>
      <c r="AT63" s="59" t="s">
        <v>1264</v>
      </c>
    </row>
    <row r="64" ht="102" spans="1:46">
      <c r="A64" s="55">
        <v>62</v>
      </c>
      <c r="B64" s="56" t="s">
        <v>1265</v>
      </c>
      <c r="C64" s="56" t="s">
        <v>1266</v>
      </c>
      <c r="D64" s="56" t="s">
        <v>34</v>
      </c>
      <c r="E64" s="57">
        <v>163</v>
      </c>
      <c r="F64" s="57">
        <v>63</v>
      </c>
      <c r="G64" s="58">
        <f t="shared" si="0"/>
        <v>23.7118446309609</v>
      </c>
      <c r="H64" s="56" t="s">
        <v>1267</v>
      </c>
      <c r="I64" s="56" t="s">
        <v>298</v>
      </c>
      <c r="J64" s="56" t="s">
        <v>120</v>
      </c>
      <c r="K64" s="56" t="s">
        <v>120</v>
      </c>
      <c r="L64" s="56" t="s">
        <v>1268</v>
      </c>
      <c r="M64" s="56" t="s">
        <v>120</v>
      </c>
      <c r="N64" s="56" t="s">
        <v>120</v>
      </c>
      <c r="O64" s="56" t="s">
        <v>121</v>
      </c>
      <c r="P64" s="56" t="s">
        <v>120</v>
      </c>
      <c r="Q64" s="56" t="s">
        <v>154</v>
      </c>
      <c r="R64" s="56" t="s">
        <v>1269</v>
      </c>
      <c r="S64" s="56" t="s">
        <v>1270</v>
      </c>
      <c r="T64" s="56" t="s">
        <v>1271</v>
      </c>
      <c r="U64" s="56" t="s">
        <v>1272</v>
      </c>
      <c r="V64" s="56" t="s">
        <v>1273</v>
      </c>
      <c r="W64" s="56" t="s">
        <v>773</v>
      </c>
      <c r="X64" s="56" t="s">
        <v>1274</v>
      </c>
      <c r="Y64" s="56" t="s">
        <v>1275</v>
      </c>
      <c r="Z64" s="56" t="s">
        <v>369</v>
      </c>
      <c r="AA64" s="56" t="s">
        <v>1117</v>
      </c>
      <c r="AB64" s="56" t="s">
        <v>1245</v>
      </c>
      <c r="AC64" s="56" t="s">
        <v>168</v>
      </c>
      <c r="AD64" s="56" t="s">
        <v>1109</v>
      </c>
      <c r="AE64" s="56" t="s">
        <v>1276</v>
      </c>
      <c r="AF64" s="56" t="s">
        <v>137</v>
      </c>
      <c r="AG64" s="56" t="s">
        <v>138</v>
      </c>
      <c r="AH64" s="56" t="s">
        <v>138</v>
      </c>
      <c r="AI64" s="56" t="s">
        <v>138</v>
      </c>
      <c r="AJ64" s="56" t="s">
        <v>325</v>
      </c>
      <c r="AK64" s="56" t="s">
        <v>1277</v>
      </c>
      <c r="AL64" s="56" t="s">
        <v>1278</v>
      </c>
      <c r="AM64" s="56" t="s">
        <v>1279</v>
      </c>
      <c r="AN64" s="59" t="s">
        <v>170</v>
      </c>
      <c r="AO64" s="59" t="s">
        <v>1097</v>
      </c>
      <c r="AP64" s="50"/>
      <c r="AQ64" s="59" t="s">
        <v>145</v>
      </c>
      <c r="AR64" s="50"/>
      <c r="AS64" s="60" t="s">
        <v>174</v>
      </c>
      <c r="AT64" s="59" t="s">
        <v>1280</v>
      </c>
    </row>
    <row r="65" ht="114.75" spans="1:46">
      <c r="A65" s="55">
        <v>63</v>
      </c>
      <c r="B65" s="56" t="s">
        <v>1281</v>
      </c>
      <c r="C65" s="56" t="s">
        <v>1282</v>
      </c>
      <c r="D65" s="56" t="s">
        <v>34</v>
      </c>
      <c r="E65" s="57">
        <v>173</v>
      </c>
      <c r="F65" s="57">
        <v>69</v>
      </c>
      <c r="G65" s="58">
        <f t="shared" si="0"/>
        <v>23.0545624644993</v>
      </c>
      <c r="H65" s="56" t="s">
        <v>1283</v>
      </c>
      <c r="I65" s="56" t="s">
        <v>298</v>
      </c>
      <c r="J65" s="56" t="s">
        <v>120</v>
      </c>
      <c r="K65" s="56" t="s">
        <v>120</v>
      </c>
      <c r="L65" s="56" t="s">
        <v>120</v>
      </c>
      <c r="M65" s="56" t="s">
        <v>120</v>
      </c>
      <c r="N65" s="56" t="s">
        <v>120</v>
      </c>
      <c r="O65" s="56" t="s">
        <v>121</v>
      </c>
      <c r="P65" s="56" t="s">
        <v>120</v>
      </c>
      <c r="Q65" s="56" t="s">
        <v>122</v>
      </c>
      <c r="R65" s="56" t="s">
        <v>1157</v>
      </c>
      <c r="S65" s="56" t="s">
        <v>721</v>
      </c>
      <c r="T65" s="56" t="s">
        <v>1284</v>
      </c>
      <c r="U65" s="56" t="s">
        <v>1285</v>
      </c>
      <c r="V65" s="56" t="s">
        <v>434</v>
      </c>
      <c r="W65" s="56" t="s">
        <v>1286</v>
      </c>
      <c r="X65" s="56" t="s">
        <v>596</v>
      </c>
      <c r="Y65" s="56" t="s">
        <v>1287</v>
      </c>
      <c r="Z65" s="56" t="s">
        <v>1288</v>
      </c>
      <c r="AA65" s="56" t="s">
        <v>1289</v>
      </c>
      <c r="AB65" s="56" t="s">
        <v>1172</v>
      </c>
      <c r="AC65" s="56" t="s">
        <v>451</v>
      </c>
      <c r="AD65" s="56" t="s">
        <v>1290</v>
      </c>
      <c r="AE65" s="56" t="s">
        <v>1291</v>
      </c>
      <c r="AF65" s="56" t="s">
        <v>137</v>
      </c>
      <c r="AG65" s="56" t="s">
        <v>138</v>
      </c>
      <c r="AH65" s="56" t="s">
        <v>138</v>
      </c>
      <c r="AI65" s="56" t="s">
        <v>138</v>
      </c>
      <c r="AJ65" s="56" t="s">
        <v>782</v>
      </c>
      <c r="AK65" s="56" t="s">
        <v>396</v>
      </c>
      <c r="AL65" s="56" t="s">
        <v>459</v>
      </c>
      <c r="AM65" s="56" t="s">
        <v>863</v>
      </c>
      <c r="AN65" s="59" t="s">
        <v>1292</v>
      </c>
      <c r="AO65" s="59" t="s">
        <v>1293</v>
      </c>
      <c r="AP65" s="50"/>
      <c r="AQ65" s="59" t="s">
        <v>145</v>
      </c>
      <c r="AR65" s="50"/>
      <c r="AS65" s="60" t="s">
        <v>174</v>
      </c>
      <c r="AT65" s="59" t="s">
        <v>1294</v>
      </c>
    </row>
    <row r="66" ht="127.5" spans="1:46">
      <c r="A66" s="55">
        <v>64</v>
      </c>
      <c r="B66" s="56" t="s">
        <v>1295</v>
      </c>
      <c r="C66" s="56" t="s">
        <v>1296</v>
      </c>
      <c r="D66" s="56" t="s">
        <v>35</v>
      </c>
      <c r="E66" s="57">
        <v>157</v>
      </c>
      <c r="F66" s="57">
        <v>42</v>
      </c>
      <c r="G66" s="58">
        <f t="shared" si="0"/>
        <v>17.0392308004382</v>
      </c>
      <c r="H66" s="56" t="s">
        <v>1297</v>
      </c>
      <c r="I66" s="56" t="s">
        <v>298</v>
      </c>
      <c r="J66" s="56" t="s">
        <v>120</v>
      </c>
      <c r="K66" s="56" t="s">
        <v>120</v>
      </c>
      <c r="L66" s="56" t="s">
        <v>120</v>
      </c>
      <c r="M66" s="56" t="s">
        <v>300</v>
      </c>
      <c r="N66" s="56" t="s">
        <v>120</v>
      </c>
      <c r="O66" s="56" t="s">
        <v>1298</v>
      </c>
      <c r="P66" s="56" t="s">
        <v>120</v>
      </c>
      <c r="Q66" s="56" t="s">
        <v>154</v>
      </c>
      <c r="R66" s="56" t="s">
        <v>1299</v>
      </c>
      <c r="S66" s="56" t="s">
        <v>1300</v>
      </c>
      <c r="T66" s="56" t="s">
        <v>735</v>
      </c>
      <c r="U66" s="56" t="s">
        <v>1301</v>
      </c>
      <c r="V66" s="56" t="s">
        <v>1205</v>
      </c>
      <c r="W66" s="56" t="s">
        <v>1302</v>
      </c>
      <c r="X66" s="56" t="s">
        <v>686</v>
      </c>
      <c r="Y66" s="61"/>
      <c r="Z66" s="56" t="s">
        <v>1303</v>
      </c>
      <c r="AA66" s="56" t="s">
        <v>365</v>
      </c>
      <c r="AB66" s="56" t="s">
        <v>1304</v>
      </c>
      <c r="AC66" s="56" t="s">
        <v>1305</v>
      </c>
      <c r="AD66" s="56" t="s">
        <v>390</v>
      </c>
      <c r="AE66" s="61"/>
      <c r="AF66" s="56" t="s">
        <v>137</v>
      </c>
      <c r="AG66" s="56" t="s">
        <v>138</v>
      </c>
      <c r="AH66" s="56" t="s">
        <v>138</v>
      </c>
      <c r="AI66" s="56" t="s">
        <v>1306</v>
      </c>
      <c r="AJ66" s="56" t="s">
        <v>397</v>
      </c>
      <c r="AK66" s="61"/>
      <c r="AL66" s="56" t="s">
        <v>1307</v>
      </c>
      <c r="AM66" s="56" t="s">
        <v>1308</v>
      </c>
      <c r="AN66" s="59" t="s">
        <v>224</v>
      </c>
      <c r="AO66" s="59" t="s">
        <v>335</v>
      </c>
      <c r="AP66" s="59" t="s">
        <v>314</v>
      </c>
      <c r="AQ66" s="59" t="s">
        <v>1309</v>
      </c>
      <c r="AR66" s="59" t="s">
        <v>173</v>
      </c>
      <c r="AS66" s="60" t="s">
        <v>174</v>
      </c>
      <c r="AT66" s="59" t="s">
        <v>1310</v>
      </c>
    </row>
    <row r="67" ht="114.75" spans="1:46">
      <c r="A67" s="55">
        <v>65</v>
      </c>
      <c r="B67" s="56" t="s">
        <v>1311</v>
      </c>
      <c r="C67" s="56" t="s">
        <v>1312</v>
      </c>
      <c r="D67" s="56" t="s">
        <v>34</v>
      </c>
      <c r="E67" s="57">
        <v>166</v>
      </c>
      <c r="F67" s="57">
        <v>69</v>
      </c>
      <c r="G67" s="58">
        <f t="shared" ref="G67:G72" si="1">F67/E67/E67*10000</f>
        <v>25.0399187109885</v>
      </c>
      <c r="H67" s="56" t="s">
        <v>1313</v>
      </c>
      <c r="I67" s="56" t="s">
        <v>779</v>
      </c>
      <c r="J67" s="56" t="s">
        <v>120</v>
      </c>
      <c r="K67" s="56" t="s">
        <v>120</v>
      </c>
      <c r="L67" s="56" t="s">
        <v>120</v>
      </c>
      <c r="M67" s="56" t="s">
        <v>1314</v>
      </c>
      <c r="N67" s="56" t="s">
        <v>120</v>
      </c>
      <c r="O67" s="56" t="s">
        <v>654</v>
      </c>
      <c r="P67" s="56" t="s">
        <v>120</v>
      </c>
      <c r="Q67" s="56" t="s">
        <v>154</v>
      </c>
      <c r="R67" s="56" t="s">
        <v>579</v>
      </c>
      <c r="S67" s="56" t="s">
        <v>926</v>
      </c>
      <c r="T67" s="56" t="s">
        <v>1315</v>
      </c>
      <c r="U67" s="56" t="s">
        <v>1316</v>
      </c>
      <c r="V67" s="56" t="s">
        <v>1317</v>
      </c>
      <c r="W67" s="56" t="s">
        <v>373</v>
      </c>
      <c r="X67" s="56" t="s">
        <v>161</v>
      </c>
      <c r="Y67" s="56" t="s">
        <v>1318</v>
      </c>
      <c r="Z67" s="56" t="s">
        <v>1319</v>
      </c>
      <c r="AA67" s="56" t="s">
        <v>1320</v>
      </c>
      <c r="AB67" s="56" t="s">
        <v>1321</v>
      </c>
      <c r="AC67" s="56" t="s">
        <v>1322</v>
      </c>
      <c r="AD67" s="56" t="s">
        <v>932</v>
      </c>
      <c r="AE67" s="56" t="s">
        <v>1323</v>
      </c>
      <c r="AF67" s="56" t="s">
        <v>137</v>
      </c>
      <c r="AG67" s="56" t="s">
        <v>138</v>
      </c>
      <c r="AH67" s="56" t="s">
        <v>138</v>
      </c>
      <c r="AI67" s="56" t="s">
        <v>138</v>
      </c>
      <c r="AJ67" s="56" t="s">
        <v>305</v>
      </c>
      <c r="AK67" s="56" t="s">
        <v>1324</v>
      </c>
      <c r="AL67" s="56" t="s">
        <v>236</v>
      </c>
      <c r="AM67" s="56" t="s">
        <v>181</v>
      </c>
      <c r="AN67" s="59" t="s">
        <v>170</v>
      </c>
      <c r="AO67" s="59" t="s">
        <v>292</v>
      </c>
      <c r="AP67" s="50"/>
      <c r="AQ67" s="59" t="s">
        <v>145</v>
      </c>
      <c r="AR67" s="50"/>
      <c r="AS67" s="60" t="s">
        <v>174</v>
      </c>
      <c r="AT67" s="59" t="s">
        <v>1325</v>
      </c>
    </row>
    <row r="68" ht="76.5" spans="1:46">
      <c r="A68" s="55">
        <v>66</v>
      </c>
      <c r="B68" s="56" t="s">
        <v>1326</v>
      </c>
      <c r="C68" s="56" t="s">
        <v>1327</v>
      </c>
      <c r="D68" s="56" t="s">
        <v>34</v>
      </c>
      <c r="E68" s="57">
        <v>162</v>
      </c>
      <c r="F68" s="57">
        <v>57</v>
      </c>
      <c r="G68" s="58">
        <f t="shared" si="1"/>
        <v>21.7192501143118</v>
      </c>
      <c r="H68" s="56" t="s">
        <v>1328</v>
      </c>
      <c r="I68" s="56" t="s">
        <v>700</v>
      </c>
      <c r="J68" s="56" t="s">
        <v>120</v>
      </c>
      <c r="K68" s="56" t="s">
        <v>120</v>
      </c>
      <c r="L68" s="56" t="s">
        <v>120</v>
      </c>
      <c r="M68" s="56" t="s">
        <v>120</v>
      </c>
      <c r="N68" s="56" t="s">
        <v>1329</v>
      </c>
      <c r="O68" s="56" t="s">
        <v>120</v>
      </c>
      <c r="P68" s="56" t="s">
        <v>120</v>
      </c>
      <c r="Q68" s="56" t="s">
        <v>122</v>
      </c>
      <c r="R68" s="56" t="s">
        <v>321</v>
      </c>
      <c r="S68" s="56" t="s">
        <v>1045</v>
      </c>
      <c r="T68" s="56" t="s">
        <v>620</v>
      </c>
      <c r="U68" s="56" t="s">
        <v>1330</v>
      </c>
      <c r="V68" s="56" t="s">
        <v>185</v>
      </c>
      <c r="W68" s="56" t="s">
        <v>762</v>
      </c>
      <c r="X68" s="56" t="s">
        <v>1331</v>
      </c>
      <c r="Y68" s="56" t="s">
        <v>1332</v>
      </c>
      <c r="Z68" s="56" t="s">
        <v>1333</v>
      </c>
      <c r="AA68" s="56" t="s">
        <v>1334</v>
      </c>
      <c r="AB68" s="56" t="s">
        <v>1335</v>
      </c>
      <c r="AC68" s="56" t="s">
        <v>431</v>
      </c>
      <c r="AD68" s="56" t="s">
        <v>1336</v>
      </c>
      <c r="AE68" s="56" t="s">
        <v>1337</v>
      </c>
      <c r="AF68" s="56" t="s">
        <v>137</v>
      </c>
      <c r="AG68" s="56" t="s">
        <v>138</v>
      </c>
      <c r="AH68" s="56" t="s">
        <v>138</v>
      </c>
      <c r="AI68" s="56" t="s">
        <v>138</v>
      </c>
      <c r="AJ68" s="56" t="s">
        <v>286</v>
      </c>
      <c r="AK68" s="56" t="s">
        <v>1338</v>
      </c>
      <c r="AL68" s="56" t="s">
        <v>835</v>
      </c>
      <c r="AM68" s="56" t="s">
        <v>1067</v>
      </c>
      <c r="AN68" s="59" t="s">
        <v>170</v>
      </c>
      <c r="AO68" s="59" t="s">
        <v>335</v>
      </c>
      <c r="AP68" s="50"/>
      <c r="AQ68" s="59" t="s">
        <v>1339</v>
      </c>
      <c r="AR68" s="50"/>
      <c r="AS68" s="60" t="s">
        <v>174</v>
      </c>
      <c r="AT68" s="59" t="s">
        <v>1340</v>
      </c>
    </row>
    <row r="69" ht="306" spans="1:46">
      <c r="A69" s="55">
        <v>67</v>
      </c>
      <c r="B69" s="56" t="s">
        <v>1341</v>
      </c>
      <c r="C69" s="56" t="s">
        <v>1342</v>
      </c>
      <c r="D69" s="56" t="s">
        <v>34</v>
      </c>
      <c r="E69" s="57">
        <v>166</v>
      </c>
      <c r="F69" s="57">
        <v>66</v>
      </c>
      <c r="G69" s="58">
        <f t="shared" si="1"/>
        <v>23.9512265931195</v>
      </c>
      <c r="H69" s="56" t="s">
        <v>1343</v>
      </c>
      <c r="I69" s="56" t="s">
        <v>570</v>
      </c>
      <c r="J69" s="56" t="s">
        <v>1344</v>
      </c>
      <c r="K69" s="56" t="s">
        <v>120</v>
      </c>
      <c r="L69" s="56" t="s">
        <v>120</v>
      </c>
      <c r="M69" s="56" t="s">
        <v>1345</v>
      </c>
      <c r="N69" s="56" t="s">
        <v>231</v>
      </c>
      <c r="O69" s="56" t="s">
        <v>1346</v>
      </c>
      <c r="P69" s="56" t="s">
        <v>120</v>
      </c>
      <c r="Q69" s="56" t="s">
        <v>450</v>
      </c>
      <c r="R69" s="56" t="s">
        <v>181</v>
      </c>
      <c r="S69" s="56" t="s">
        <v>655</v>
      </c>
      <c r="T69" s="56" t="s">
        <v>1347</v>
      </c>
      <c r="U69" s="56" t="s">
        <v>1348</v>
      </c>
      <c r="V69" s="56" t="s">
        <v>1349</v>
      </c>
      <c r="W69" s="56" t="s">
        <v>1350</v>
      </c>
      <c r="X69" s="56" t="s">
        <v>964</v>
      </c>
      <c r="Y69" s="56" t="s">
        <v>1351</v>
      </c>
      <c r="Z69" s="56" t="s">
        <v>1352</v>
      </c>
      <c r="AA69" s="56" t="s">
        <v>366</v>
      </c>
      <c r="AB69" s="56" t="s">
        <v>1082</v>
      </c>
      <c r="AC69" s="56" t="s">
        <v>326</v>
      </c>
      <c r="AD69" s="56" t="s">
        <v>280</v>
      </c>
      <c r="AE69" s="56" t="s">
        <v>1353</v>
      </c>
      <c r="AF69" s="56" t="s">
        <v>137</v>
      </c>
      <c r="AG69" s="56" t="s">
        <v>138</v>
      </c>
      <c r="AH69" s="56" t="s">
        <v>138</v>
      </c>
      <c r="AI69" s="56" t="s">
        <v>138</v>
      </c>
      <c r="AJ69" s="56" t="s">
        <v>887</v>
      </c>
      <c r="AK69" s="56" t="s">
        <v>1354</v>
      </c>
      <c r="AL69" s="56" t="s">
        <v>159</v>
      </c>
      <c r="AM69" s="56" t="s">
        <v>773</v>
      </c>
      <c r="AN69" s="59" t="s">
        <v>1355</v>
      </c>
      <c r="AO69" s="59" t="s">
        <v>271</v>
      </c>
      <c r="AP69" s="50"/>
      <c r="AQ69" s="59" t="s">
        <v>145</v>
      </c>
      <c r="AR69" s="50"/>
      <c r="AS69" s="60" t="s">
        <v>146</v>
      </c>
      <c r="AT69" s="59" t="s">
        <v>1356</v>
      </c>
    </row>
    <row r="70" ht="216.75" spans="1:46">
      <c r="A70" s="55">
        <v>68</v>
      </c>
      <c r="B70" s="56" t="s">
        <v>1357</v>
      </c>
      <c r="C70" s="56" t="s">
        <v>1358</v>
      </c>
      <c r="D70" s="56" t="s">
        <v>34</v>
      </c>
      <c r="E70" s="57">
        <v>167</v>
      </c>
      <c r="F70" s="57">
        <v>71</v>
      </c>
      <c r="G70" s="58">
        <f t="shared" si="1"/>
        <v>25.4580659041199</v>
      </c>
      <c r="H70" s="56" t="s">
        <v>1359</v>
      </c>
      <c r="I70" s="56" t="s">
        <v>759</v>
      </c>
      <c r="J70" s="56" t="s">
        <v>120</v>
      </c>
      <c r="K70" s="56" t="s">
        <v>1360</v>
      </c>
      <c r="L70" s="56" t="s">
        <v>120</v>
      </c>
      <c r="M70" s="56" t="s">
        <v>120</v>
      </c>
      <c r="N70" s="56" t="s">
        <v>231</v>
      </c>
      <c r="O70" s="56" t="s">
        <v>121</v>
      </c>
      <c r="P70" s="56" t="s">
        <v>120</v>
      </c>
      <c r="Q70" s="56" t="s">
        <v>122</v>
      </c>
      <c r="R70" s="56" t="s">
        <v>1361</v>
      </c>
      <c r="S70" s="56" t="s">
        <v>1362</v>
      </c>
      <c r="T70" s="56" t="s">
        <v>1363</v>
      </c>
      <c r="U70" s="56" t="s">
        <v>1364</v>
      </c>
      <c r="V70" s="56" t="s">
        <v>883</v>
      </c>
      <c r="W70" s="56" t="s">
        <v>560</v>
      </c>
      <c r="X70" s="56" t="s">
        <v>1350</v>
      </c>
      <c r="Y70" s="56" t="s">
        <v>1365</v>
      </c>
      <c r="Z70" s="56" t="s">
        <v>1366</v>
      </c>
      <c r="AA70" s="56" t="s">
        <v>748</v>
      </c>
      <c r="AB70" s="56" t="s">
        <v>1367</v>
      </c>
      <c r="AC70" s="56" t="s">
        <v>1368</v>
      </c>
      <c r="AD70" s="56" t="s">
        <v>1369</v>
      </c>
      <c r="AE70" s="56" t="s">
        <v>1370</v>
      </c>
      <c r="AF70" s="56" t="s">
        <v>137</v>
      </c>
      <c r="AG70" s="56" t="s">
        <v>138</v>
      </c>
      <c r="AH70" s="56" t="s">
        <v>138</v>
      </c>
      <c r="AI70" s="56" t="s">
        <v>138</v>
      </c>
      <c r="AJ70" s="56" t="s">
        <v>210</v>
      </c>
      <c r="AK70" s="56" t="s">
        <v>1371</v>
      </c>
      <c r="AL70" s="56" t="s">
        <v>1372</v>
      </c>
      <c r="AM70" s="56" t="s">
        <v>283</v>
      </c>
      <c r="AN70" s="59" t="s">
        <v>1373</v>
      </c>
      <c r="AO70" s="59" t="s">
        <v>1374</v>
      </c>
      <c r="AP70" s="50"/>
      <c r="AQ70" s="59" t="s">
        <v>145</v>
      </c>
      <c r="AR70" s="50"/>
      <c r="AS70" s="60" t="s">
        <v>174</v>
      </c>
      <c r="AT70" s="59" t="s">
        <v>1375</v>
      </c>
    </row>
    <row r="71" ht="89.25" spans="1:46">
      <c r="A71" s="55">
        <v>69</v>
      </c>
      <c r="B71" s="56" t="s">
        <v>1376</v>
      </c>
      <c r="C71" s="56" t="s">
        <v>1377</v>
      </c>
      <c r="D71" s="56" t="s">
        <v>34</v>
      </c>
      <c r="E71" s="57">
        <v>177</v>
      </c>
      <c r="F71" s="57">
        <v>69</v>
      </c>
      <c r="G71" s="58">
        <f t="shared" si="1"/>
        <v>22.0243225126879</v>
      </c>
      <c r="H71" s="56" t="s">
        <v>1378</v>
      </c>
      <c r="I71" s="56" t="s">
        <v>1379</v>
      </c>
      <c r="J71" s="56" t="s">
        <v>120</v>
      </c>
      <c r="K71" s="56" t="s">
        <v>120</v>
      </c>
      <c r="L71" s="56" t="s">
        <v>120</v>
      </c>
      <c r="M71" s="56" t="s">
        <v>1380</v>
      </c>
      <c r="N71" s="56" t="s">
        <v>120</v>
      </c>
      <c r="O71" s="56" t="s">
        <v>1381</v>
      </c>
      <c r="P71" s="56" t="s">
        <v>120</v>
      </c>
      <c r="Q71" s="56" t="s">
        <v>122</v>
      </c>
      <c r="R71" s="56" t="s">
        <v>1274</v>
      </c>
      <c r="S71" s="56" t="s">
        <v>634</v>
      </c>
      <c r="T71" s="56" t="s">
        <v>1382</v>
      </c>
      <c r="U71" s="56" t="s">
        <v>1383</v>
      </c>
      <c r="V71" s="56" t="s">
        <v>834</v>
      </c>
      <c r="W71" s="56" t="s">
        <v>660</v>
      </c>
      <c r="X71" s="56" t="s">
        <v>206</v>
      </c>
      <c r="Y71" s="56" t="s">
        <v>1384</v>
      </c>
      <c r="Z71" s="56" t="s">
        <v>1385</v>
      </c>
      <c r="AA71" s="56" t="s">
        <v>1386</v>
      </c>
      <c r="AB71" s="56" t="s">
        <v>664</v>
      </c>
      <c r="AC71" s="56" t="s">
        <v>785</v>
      </c>
      <c r="AD71" s="56" t="s">
        <v>1274</v>
      </c>
      <c r="AE71" s="56" t="s">
        <v>1387</v>
      </c>
      <c r="AF71" s="56" t="s">
        <v>137</v>
      </c>
      <c r="AG71" s="56" t="s">
        <v>138</v>
      </c>
      <c r="AH71" s="56" t="s">
        <v>138</v>
      </c>
      <c r="AI71" s="56" t="s">
        <v>138</v>
      </c>
      <c r="AJ71" s="56" t="s">
        <v>1159</v>
      </c>
      <c r="AK71" s="56" t="s">
        <v>1388</v>
      </c>
      <c r="AL71" s="56" t="s">
        <v>1021</v>
      </c>
      <c r="AM71" s="56" t="s">
        <v>306</v>
      </c>
      <c r="AN71" s="59" t="s">
        <v>170</v>
      </c>
      <c r="AO71" s="59" t="s">
        <v>335</v>
      </c>
      <c r="AP71" s="50"/>
      <c r="AQ71" s="59" t="s">
        <v>145</v>
      </c>
      <c r="AR71" s="50"/>
      <c r="AS71" s="60" t="s">
        <v>174</v>
      </c>
      <c r="AT71" s="59" t="s">
        <v>1389</v>
      </c>
    </row>
    <row r="72" ht="229.5" spans="1:46">
      <c r="A72" s="55">
        <v>70</v>
      </c>
      <c r="B72" s="56" t="s">
        <v>1390</v>
      </c>
      <c r="C72" s="56" t="s">
        <v>1391</v>
      </c>
      <c r="D72" s="56" t="s">
        <v>35</v>
      </c>
      <c r="E72" s="57">
        <v>152</v>
      </c>
      <c r="F72" s="57">
        <v>50</v>
      </c>
      <c r="G72" s="58">
        <f t="shared" si="1"/>
        <v>21.6412742382271</v>
      </c>
      <c r="H72" s="56" t="s">
        <v>1392</v>
      </c>
      <c r="I72" s="56" t="s">
        <v>1306</v>
      </c>
      <c r="J72" s="56" t="s">
        <v>120</v>
      </c>
      <c r="K72" s="56" t="s">
        <v>1393</v>
      </c>
      <c r="L72" s="56" t="s">
        <v>120</v>
      </c>
      <c r="M72" s="56" t="s">
        <v>152</v>
      </c>
      <c r="N72" s="56" t="s">
        <v>120</v>
      </c>
      <c r="O72" s="56" t="s">
        <v>120</v>
      </c>
      <c r="P72" s="56" t="s">
        <v>120</v>
      </c>
      <c r="Q72" s="56" t="s">
        <v>154</v>
      </c>
      <c r="R72" s="56" t="s">
        <v>1394</v>
      </c>
      <c r="S72" s="56" t="s">
        <v>1395</v>
      </c>
      <c r="T72" s="56" t="s">
        <v>1396</v>
      </c>
      <c r="U72" s="56" t="s">
        <v>1397</v>
      </c>
      <c r="V72" s="56" t="s">
        <v>1076</v>
      </c>
      <c r="W72" s="56" t="s">
        <v>267</v>
      </c>
      <c r="X72" s="56" t="s">
        <v>868</v>
      </c>
      <c r="Y72" s="61"/>
      <c r="Z72" s="56" t="s">
        <v>1398</v>
      </c>
      <c r="AA72" s="56" t="s">
        <v>1399</v>
      </c>
      <c r="AB72" s="56" t="s">
        <v>1400</v>
      </c>
      <c r="AC72" s="56" t="s">
        <v>931</v>
      </c>
      <c r="AD72" s="56" t="s">
        <v>704</v>
      </c>
      <c r="AE72" s="61"/>
      <c r="AF72" s="56" t="s">
        <v>137</v>
      </c>
      <c r="AG72" s="56" t="s">
        <v>138</v>
      </c>
      <c r="AH72" s="56" t="s">
        <v>138</v>
      </c>
      <c r="AI72" s="56" t="s">
        <v>138</v>
      </c>
      <c r="AJ72" s="56" t="s">
        <v>1401</v>
      </c>
      <c r="AK72" s="61"/>
      <c r="AL72" s="56" t="s">
        <v>397</v>
      </c>
      <c r="AM72" s="56" t="s">
        <v>123</v>
      </c>
      <c r="AN72" s="59" t="s">
        <v>504</v>
      </c>
      <c r="AO72" s="59" t="s">
        <v>1402</v>
      </c>
      <c r="AP72" s="59" t="s">
        <v>314</v>
      </c>
      <c r="AQ72" s="59" t="s">
        <v>145</v>
      </c>
      <c r="AR72" s="59" t="s">
        <v>315</v>
      </c>
      <c r="AS72" s="60" t="s">
        <v>146</v>
      </c>
      <c r="AT72" s="59" t="s">
        <v>1403</v>
      </c>
    </row>
  </sheetData>
  <mergeCells count="25">
    <mergeCell ref="Q1:U1"/>
    <mergeCell ref="V1:AE1"/>
    <mergeCell ref="AF1:AI1"/>
    <mergeCell ref="AJ1:AM1"/>
    <mergeCell ref="AN1:AP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AQ1:AQ2"/>
    <mergeCell ref="AR1:AR2"/>
    <mergeCell ref="AS1:AS2"/>
    <mergeCell ref="AT1:AT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88"/>
  <sheetViews>
    <sheetView topLeftCell="A73" workbookViewId="0">
      <selection activeCell="Y92" sqref="Y92"/>
    </sheetView>
  </sheetViews>
  <sheetFormatPr defaultColWidth="9" defaultRowHeight="12.75"/>
  <cols>
    <col min="1" max="1" width="4.14285714285714" style="2" customWidth="1"/>
    <col min="2" max="2" width="19.7142857142857" style="2" customWidth="1"/>
    <col min="3" max="3" width="4.85714285714286" style="7" customWidth="1"/>
    <col min="4" max="4" width="7.28571428571429" style="7" customWidth="1"/>
    <col min="5" max="28" width="3" style="2" customWidth="1"/>
    <col min="29" max="29" width="9.71428571428571" style="2" customWidth="1"/>
    <col min="30" max="16370" width="9.14285714285714" style="2"/>
    <col min="16371" max="16384" width="9" style="2"/>
  </cols>
  <sheetData>
    <row r="1" s="1" customFormat="1" ht="15.75" spans="1:29">
      <c r="A1" s="8" t="s">
        <v>1404</v>
      </c>
      <c r="B1" s="8"/>
      <c r="C1" s="8"/>
      <c r="D1" s="8"/>
      <c r="E1" s="8"/>
      <c r="F1" s="9"/>
      <c r="G1" s="10"/>
      <c r="H1" s="10"/>
      <c r="I1" s="10"/>
      <c r="J1" s="10"/>
      <c r="K1" s="10"/>
      <c r="L1" s="11"/>
      <c r="M1" s="11"/>
      <c r="N1" s="10" t="s">
        <v>1405</v>
      </c>
      <c r="O1" s="10"/>
      <c r="P1" s="10"/>
      <c r="Q1" s="10"/>
      <c r="R1" s="10"/>
      <c r="S1" s="10"/>
      <c r="T1" s="10"/>
      <c r="U1" s="10"/>
      <c r="V1" s="10"/>
      <c r="W1" s="10"/>
      <c r="X1" s="10"/>
      <c r="Y1" s="10"/>
      <c r="Z1" s="10"/>
      <c r="AA1" s="10"/>
      <c r="AB1" s="10"/>
      <c r="AC1" s="10"/>
    </row>
    <row r="2" s="1" customFormat="1" ht="15.75" spans="1:29">
      <c r="A2" s="8"/>
      <c r="B2" s="8"/>
      <c r="C2" s="8"/>
      <c r="D2" s="8"/>
      <c r="E2" s="8"/>
      <c r="F2" s="9"/>
      <c r="G2" s="10"/>
      <c r="H2" s="10"/>
      <c r="I2" s="10"/>
      <c r="J2" s="10"/>
      <c r="K2" s="10"/>
      <c r="L2" s="11"/>
      <c r="M2" s="11"/>
      <c r="N2" s="10" t="s">
        <v>1406</v>
      </c>
      <c r="O2" s="10"/>
      <c r="P2" s="10"/>
      <c r="Q2" s="10"/>
      <c r="R2" s="10"/>
      <c r="S2" s="10"/>
      <c r="T2" s="10"/>
      <c r="U2" s="10"/>
      <c r="V2" s="10"/>
      <c r="W2" s="10"/>
      <c r="X2" s="10"/>
      <c r="Y2" s="10"/>
      <c r="Z2" s="10"/>
      <c r="AA2" s="10"/>
      <c r="AB2" s="10"/>
      <c r="AC2" s="10"/>
    </row>
    <row r="3" s="1" customFormat="1" ht="15.75" spans="1:29">
      <c r="A3" s="12" t="s">
        <v>1407</v>
      </c>
      <c r="B3" s="12"/>
      <c r="C3" s="12"/>
      <c r="D3" s="12"/>
      <c r="E3" s="12"/>
      <c r="F3" s="9"/>
      <c r="G3" s="9"/>
      <c r="H3" s="9"/>
      <c r="I3" s="9"/>
      <c r="J3" s="9"/>
      <c r="K3" s="13"/>
      <c r="L3" s="14"/>
      <c r="M3" s="14"/>
      <c r="N3" s="14"/>
      <c r="O3" s="14"/>
      <c r="P3" s="14"/>
      <c r="Q3" s="14"/>
      <c r="R3" s="14"/>
      <c r="S3" s="14"/>
      <c r="T3" s="14"/>
      <c r="U3" s="14"/>
    </row>
    <row r="4" s="1" customFormat="1" ht="5.25" customHeight="1" spans="1:29">
      <c r="A4" s="9"/>
      <c r="B4" s="9"/>
      <c r="C4" s="15"/>
      <c r="D4" s="15"/>
      <c r="E4" s="16"/>
      <c r="F4" s="9"/>
      <c r="G4" s="9"/>
      <c r="H4" s="9"/>
      <c r="I4" s="9"/>
      <c r="J4" s="9"/>
      <c r="K4" s="13"/>
      <c r="L4" s="14"/>
      <c r="M4" s="14"/>
      <c r="N4" s="14"/>
      <c r="O4" s="14"/>
      <c r="P4" s="14"/>
      <c r="Q4" s="14"/>
      <c r="R4" s="14"/>
      <c r="S4" s="14"/>
      <c r="T4" s="14"/>
      <c r="U4" s="14"/>
    </row>
    <row r="5" s="1" customFormat="1" ht="22.5" customHeight="1" spans="1:29">
      <c r="A5" s="9"/>
      <c r="B5" s="9"/>
      <c r="C5" s="15"/>
      <c r="D5" s="15"/>
      <c r="E5" s="16"/>
      <c r="F5" s="9"/>
      <c r="G5" s="9"/>
      <c r="H5" s="9"/>
      <c r="I5" s="9"/>
      <c r="J5" s="9"/>
      <c r="K5" s="13"/>
      <c r="L5" s="14"/>
      <c r="M5" s="14"/>
      <c r="N5" s="14"/>
      <c r="O5" s="14"/>
      <c r="P5" s="14"/>
      <c r="Q5" s="14"/>
      <c r="R5" s="14"/>
      <c r="S5" s="14"/>
      <c r="T5" s="14"/>
      <c r="U5" s="14"/>
    </row>
    <row r="6" s="1" customFormat="1" ht="16.5" customHeight="1" spans="1:29">
      <c r="A6" s="17" t="s">
        <v>1408</v>
      </c>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row>
    <row r="7" s="1" customFormat="1" ht="16.5" customHeight="1" spans="1:29">
      <c r="A7" s="18" t="s">
        <v>1409</v>
      </c>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row>
    <row r="8" s="1" customFormat="1" ht="16.5" customHeight="1" spans="1:29">
      <c r="A8" s="19" t="s">
        <v>1410</v>
      </c>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row>
    <row r="9" s="2" customFormat="1" spans="1:29">
      <c r="A9" s="20"/>
      <c r="B9" s="20"/>
      <c r="C9" s="20"/>
      <c r="D9" s="20"/>
      <c r="E9" s="20"/>
      <c r="F9" s="20"/>
      <c r="G9" s="20"/>
      <c r="H9" s="20"/>
      <c r="I9" s="20"/>
      <c r="J9" s="20"/>
      <c r="K9" s="20"/>
      <c r="L9" s="21"/>
      <c r="M9" s="21"/>
      <c r="N9" s="21"/>
      <c r="O9" s="21"/>
      <c r="P9" s="21"/>
      <c r="Q9" s="21"/>
      <c r="R9" s="21"/>
      <c r="S9" s="21"/>
      <c r="T9" s="21"/>
      <c r="U9" s="21"/>
    </row>
    <row r="10" s="2" customFormat="1" ht="15" customHeight="1" spans="1:29">
      <c r="A10" s="22" t="s">
        <v>65</v>
      </c>
      <c r="B10" s="22" t="s">
        <v>1411</v>
      </c>
      <c r="C10" s="23" t="s">
        <v>68</v>
      </c>
      <c r="D10" s="23" t="s">
        <v>1412</v>
      </c>
      <c r="E10" s="24" t="s">
        <v>1413</v>
      </c>
      <c r="F10" s="25" t="s">
        <v>1414</v>
      </c>
      <c r="G10" s="25" t="s">
        <v>114</v>
      </c>
      <c r="H10" s="24" t="s">
        <v>113</v>
      </c>
      <c r="I10" s="25" t="s">
        <v>1415</v>
      </c>
      <c r="J10" s="24" t="s">
        <v>1416</v>
      </c>
      <c r="K10" s="24" t="s">
        <v>1417</v>
      </c>
      <c r="L10" s="25" t="s">
        <v>1418</v>
      </c>
      <c r="M10" s="25" t="s">
        <v>1419</v>
      </c>
      <c r="N10" s="25" t="s">
        <v>1420</v>
      </c>
      <c r="O10" s="25" t="s">
        <v>1421</v>
      </c>
      <c r="P10" s="25" t="s">
        <v>1422</v>
      </c>
      <c r="Q10" s="25" t="s">
        <v>1423</v>
      </c>
      <c r="R10" s="25" t="s">
        <v>1424</v>
      </c>
      <c r="S10" s="25" t="s">
        <v>1425</v>
      </c>
      <c r="T10" s="25" t="s">
        <v>1426</v>
      </c>
      <c r="U10" s="25" t="s">
        <v>1427</v>
      </c>
      <c r="V10" s="25" t="s">
        <v>1428</v>
      </c>
      <c r="W10" s="25" t="s">
        <v>1429</v>
      </c>
      <c r="X10" s="25" t="s">
        <v>1430</v>
      </c>
      <c r="Y10" s="25" t="s">
        <v>87</v>
      </c>
      <c r="Z10" s="25" t="s">
        <v>1431</v>
      </c>
      <c r="AA10" s="24" t="s">
        <v>1432</v>
      </c>
      <c r="AB10" s="25" t="s">
        <v>1433</v>
      </c>
      <c r="AC10" s="26" t="s">
        <v>1434</v>
      </c>
    </row>
    <row r="11" s="2" customFormat="1" ht="143.25" customHeight="1" spans="1:29">
      <c r="A11" s="22"/>
      <c r="B11" s="22"/>
      <c r="C11" s="27"/>
      <c r="D11" s="27"/>
      <c r="E11" s="28"/>
      <c r="F11" s="29"/>
      <c r="G11" s="29"/>
      <c r="H11" s="24"/>
      <c r="I11" s="29"/>
      <c r="J11" s="24"/>
      <c r="K11" s="24"/>
      <c r="L11" s="29"/>
      <c r="M11" s="29"/>
      <c r="N11" s="29"/>
      <c r="O11" s="29"/>
      <c r="P11" s="29"/>
      <c r="Q11" s="29"/>
      <c r="R11" s="29"/>
      <c r="S11" s="29"/>
      <c r="T11" s="29"/>
      <c r="U11" s="29"/>
      <c r="V11" s="29"/>
      <c r="W11" s="29"/>
      <c r="X11" s="29"/>
      <c r="Y11" s="29"/>
      <c r="Z11" s="29"/>
      <c r="AA11" s="24"/>
      <c r="AB11" s="29"/>
      <c r="AC11" s="30"/>
    </row>
    <row r="12" s="2" customFormat="1" ht="47.25" customHeight="1" spans="1:29">
      <c r="A12" s="31"/>
      <c r="B12" s="31"/>
      <c r="C12" s="27"/>
      <c r="D12" s="27"/>
      <c r="E12" s="32">
        <v>160000</v>
      </c>
      <c r="F12" s="32">
        <v>45000</v>
      </c>
      <c r="G12" s="32">
        <v>58600</v>
      </c>
      <c r="H12" s="33">
        <v>58600</v>
      </c>
      <c r="I12" s="33">
        <v>58600</v>
      </c>
      <c r="J12" s="33">
        <v>73300</v>
      </c>
      <c r="K12" s="33">
        <v>49700</v>
      </c>
      <c r="L12" s="33">
        <v>22400</v>
      </c>
      <c r="M12" s="33">
        <v>22400</v>
      </c>
      <c r="N12" s="33">
        <v>22400</v>
      </c>
      <c r="O12" s="33">
        <v>20000</v>
      </c>
      <c r="P12" s="33">
        <v>22400</v>
      </c>
      <c r="Q12" s="33">
        <v>28000</v>
      </c>
      <c r="R12" s="33">
        <v>28000</v>
      </c>
      <c r="S12" s="33">
        <v>28000</v>
      </c>
      <c r="T12" s="33">
        <v>28000</v>
      </c>
      <c r="U12" s="33">
        <v>22400</v>
      </c>
      <c r="V12" s="33">
        <v>67300</v>
      </c>
      <c r="W12" s="33">
        <v>67300</v>
      </c>
      <c r="X12" s="33">
        <v>61700</v>
      </c>
      <c r="Y12" s="33">
        <v>190400</v>
      </c>
      <c r="Z12" s="33">
        <v>95300</v>
      </c>
      <c r="AA12" s="33">
        <v>28600</v>
      </c>
      <c r="AB12" s="33">
        <v>42100</v>
      </c>
      <c r="AC12" s="34"/>
    </row>
    <row r="13" s="2" customFormat="1" ht="13" customHeight="1" spans="1:29">
      <c r="A13" s="35">
        <v>1</v>
      </c>
      <c r="B13" s="36" t="s">
        <v>116</v>
      </c>
      <c r="C13" s="36" t="s">
        <v>34</v>
      </c>
      <c r="D13" s="36">
        <v>1973</v>
      </c>
      <c r="E13" s="37">
        <v>1</v>
      </c>
      <c r="F13" s="37"/>
      <c r="G13" s="37">
        <v>1</v>
      </c>
      <c r="H13" s="37">
        <v>1</v>
      </c>
      <c r="I13" s="37"/>
      <c r="J13" s="37">
        <v>1</v>
      </c>
      <c r="K13" s="37">
        <v>1</v>
      </c>
      <c r="L13" s="37">
        <v>1</v>
      </c>
      <c r="M13" s="37">
        <v>1</v>
      </c>
      <c r="N13" s="37">
        <v>1</v>
      </c>
      <c r="O13" s="37">
        <v>1</v>
      </c>
      <c r="P13" s="37">
        <v>1</v>
      </c>
      <c r="Q13" s="37">
        <v>1</v>
      </c>
      <c r="R13" s="37">
        <v>1</v>
      </c>
      <c r="S13" s="37">
        <v>1</v>
      </c>
      <c r="T13" s="37">
        <v>1</v>
      </c>
      <c r="U13" s="37">
        <v>1</v>
      </c>
      <c r="V13" s="37">
        <v>1</v>
      </c>
      <c r="W13" s="37">
        <v>1</v>
      </c>
      <c r="X13" s="37">
        <v>1</v>
      </c>
      <c r="Y13" s="37"/>
      <c r="Z13" s="37">
        <v>1</v>
      </c>
      <c r="AA13" s="37">
        <v>1</v>
      </c>
      <c r="AB13" s="37">
        <v>1</v>
      </c>
      <c r="AC13" s="38">
        <f>SUMPRODUCT(E13:AB13,$E$12:$AB$12)</f>
        <v>1006500</v>
      </c>
    </row>
    <row r="14" s="2" customFormat="1" ht="13" customHeight="1" spans="1:29">
      <c r="A14" s="35">
        <v>2</v>
      </c>
      <c r="B14" s="36" t="s">
        <v>148</v>
      </c>
      <c r="C14" s="36" t="s">
        <v>35</v>
      </c>
      <c r="D14" s="36">
        <v>1977</v>
      </c>
      <c r="E14" s="37">
        <v>1</v>
      </c>
      <c r="F14" s="37"/>
      <c r="G14" s="37">
        <v>1</v>
      </c>
      <c r="H14" s="37">
        <v>1</v>
      </c>
      <c r="I14" s="37">
        <v>1</v>
      </c>
      <c r="J14" s="37">
        <v>1</v>
      </c>
      <c r="K14" s="37">
        <v>1</v>
      </c>
      <c r="L14" s="37">
        <v>1</v>
      </c>
      <c r="M14" s="37">
        <v>1</v>
      </c>
      <c r="N14" s="37">
        <v>1</v>
      </c>
      <c r="O14" s="37"/>
      <c r="P14" s="37">
        <v>1</v>
      </c>
      <c r="Q14" s="37">
        <v>1</v>
      </c>
      <c r="R14" s="37">
        <v>1</v>
      </c>
      <c r="S14" s="37">
        <v>1</v>
      </c>
      <c r="T14" s="37">
        <v>1</v>
      </c>
      <c r="U14" s="37"/>
      <c r="V14" s="37">
        <v>1</v>
      </c>
      <c r="W14" s="37">
        <v>1</v>
      </c>
      <c r="X14" s="37">
        <v>1</v>
      </c>
      <c r="Y14" s="37"/>
      <c r="Z14" s="37"/>
      <c r="AA14" s="37">
        <v>1</v>
      </c>
      <c r="AB14" s="37">
        <v>1</v>
      </c>
      <c r="AC14" s="38">
        <f t="shared" ref="AC14:AC45" si="0">SUMPRODUCT(E14:AB14,$E$12:$AB$12)</f>
        <v>927400</v>
      </c>
    </row>
    <row r="15" s="2" customFormat="1" ht="13" customHeight="1" spans="1:29">
      <c r="A15" s="35">
        <v>3</v>
      </c>
      <c r="B15" s="36" t="s">
        <v>176</v>
      </c>
      <c r="C15" s="36" t="s">
        <v>34</v>
      </c>
      <c r="D15" s="36">
        <v>1970</v>
      </c>
      <c r="E15" s="37">
        <v>1</v>
      </c>
      <c r="F15" s="37"/>
      <c r="G15" s="37">
        <v>1</v>
      </c>
      <c r="H15" s="37">
        <v>1</v>
      </c>
      <c r="I15" s="37"/>
      <c r="J15" s="37">
        <v>1</v>
      </c>
      <c r="K15" s="37">
        <v>1</v>
      </c>
      <c r="L15" s="37">
        <v>1</v>
      </c>
      <c r="M15" s="37">
        <v>1</v>
      </c>
      <c r="N15" s="37">
        <v>1</v>
      </c>
      <c r="O15" s="37">
        <v>1</v>
      </c>
      <c r="P15" s="37">
        <v>1</v>
      </c>
      <c r="Q15" s="37">
        <v>1</v>
      </c>
      <c r="R15" s="37">
        <v>1</v>
      </c>
      <c r="S15" s="37">
        <v>1</v>
      </c>
      <c r="T15" s="37">
        <v>1</v>
      </c>
      <c r="U15" s="37">
        <v>1</v>
      </c>
      <c r="V15" s="37">
        <v>1</v>
      </c>
      <c r="W15" s="37">
        <v>1</v>
      </c>
      <c r="X15" s="37">
        <v>1</v>
      </c>
      <c r="Y15" s="37"/>
      <c r="Z15" s="37">
        <v>1</v>
      </c>
      <c r="AA15" s="37">
        <v>1</v>
      </c>
      <c r="AB15" s="37">
        <v>1</v>
      </c>
      <c r="AC15" s="38">
        <f t="shared" si="0"/>
        <v>1006500</v>
      </c>
    </row>
    <row r="16" s="2" customFormat="1" ht="13" customHeight="1" spans="1:29">
      <c r="A16" s="35">
        <v>4</v>
      </c>
      <c r="B16" s="36" t="s">
        <v>202</v>
      </c>
      <c r="C16" s="36" t="s">
        <v>34</v>
      </c>
      <c r="D16" s="36">
        <v>1978</v>
      </c>
      <c r="E16" s="37">
        <v>1</v>
      </c>
      <c r="F16" s="37"/>
      <c r="G16" s="37">
        <v>1</v>
      </c>
      <c r="H16" s="37">
        <v>1</v>
      </c>
      <c r="I16" s="37"/>
      <c r="J16" s="37">
        <v>1</v>
      </c>
      <c r="K16" s="37">
        <v>1</v>
      </c>
      <c r="L16" s="37">
        <v>1</v>
      </c>
      <c r="M16" s="37">
        <v>1</v>
      </c>
      <c r="N16" s="37">
        <v>1</v>
      </c>
      <c r="O16" s="37">
        <v>1</v>
      </c>
      <c r="P16" s="37">
        <v>1</v>
      </c>
      <c r="Q16" s="37">
        <v>1</v>
      </c>
      <c r="R16" s="37">
        <v>1</v>
      </c>
      <c r="S16" s="37">
        <v>1</v>
      </c>
      <c r="T16" s="37">
        <v>1</v>
      </c>
      <c r="U16" s="37">
        <v>1</v>
      </c>
      <c r="V16" s="37">
        <v>1</v>
      </c>
      <c r="W16" s="37">
        <v>1</v>
      </c>
      <c r="X16" s="37">
        <v>1</v>
      </c>
      <c r="Y16" s="37"/>
      <c r="Z16" s="37">
        <v>1</v>
      </c>
      <c r="AA16" s="37">
        <v>1</v>
      </c>
      <c r="AB16" s="37">
        <v>1</v>
      </c>
      <c r="AC16" s="38">
        <f t="shared" si="0"/>
        <v>1006500</v>
      </c>
    </row>
    <row r="17" s="2" customFormat="1" ht="13" customHeight="1" spans="1:29">
      <c r="A17" s="35">
        <v>5</v>
      </c>
      <c r="B17" s="36" t="s">
        <v>227</v>
      </c>
      <c r="C17" s="36" t="s">
        <v>34</v>
      </c>
      <c r="D17" s="36">
        <v>1981</v>
      </c>
      <c r="E17" s="37">
        <v>1</v>
      </c>
      <c r="F17" s="37"/>
      <c r="G17" s="37">
        <v>1</v>
      </c>
      <c r="H17" s="37">
        <v>1</v>
      </c>
      <c r="I17" s="37"/>
      <c r="J17" s="37">
        <v>1</v>
      </c>
      <c r="K17" s="37">
        <v>1</v>
      </c>
      <c r="L17" s="37">
        <v>1</v>
      </c>
      <c r="M17" s="37">
        <v>1</v>
      </c>
      <c r="N17" s="37">
        <v>1</v>
      </c>
      <c r="O17" s="37">
        <v>1</v>
      </c>
      <c r="P17" s="37">
        <v>1</v>
      </c>
      <c r="Q17" s="37">
        <v>1</v>
      </c>
      <c r="R17" s="37">
        <v>1</v>
      </c>
      <c r="S17" s="37">
        <v>1</v>
      </c>
      <c r="T17" s="37">
        <v>1</v>
      </c>
      <c r="U17" s="37">
        <v>1</v>
      </c>
      <c r="V17" s="37">
        <v>1</v>
      </c>
      <c r="W17" s="37">
        <v>1</v>
      </c>
      <c r="X17" s="37">
        <v>1</v>
      </c>
      <c r="Y17" s="37"/>
      <c r="Z17" s="37">
        <v>1</v>
      </c>
      <c r="AA17" s="37">
        <v>1</v>
      </c>
      <c r="AB17" s="37">
        <v>1</v>
      </c>
      <c r="AC17" s="38">
        <f t="shared" si="0"/>
        <v>1006500</v>
      </c>
    </row>
    <row r="18" s="2" customFormat="1" ht="13" customHeight="1" spans="1:29">
      <c r="A18" s="35">
        <v>6</v>
      </c>
      <c r="B18" s="36" t="s">
        <v>250</v>
      </c>
      <c r="C18" s="36" t="s">
        <v>35</v>
      </c>
      <c r="D18" s="36">
        <v>1982</v>
      </c>
      <c r="E18" s="37">
        <v>1</v>
      </c>
      <c r="F18" s="37"/>
      <c r="G18" s="37">
        <v>1</v>
      </c>
      <c r="H18" s="37">
        <v>1</v>
      </c>
      <c r="I18" s="37">
        <v>1</v>
      </c>
      <c r="J18" s="37">
        <v>1</v>
      </c>
      <c r="K18" s="37">
        <v>1</v>
      </c>
      <c r="L18" s="37">
        <v>1</v>
      </c>
      <c r="M18" s="37">
        <v>1</v>
      </c>
      <c r="N18" s="37">
        <v>1</v>
      </c>
      <c r="O18" s="37"/>
      <c r="P18" s="37">
        <v>1</v>
      </c>
      <c r="Q18" s="37">
        <v>1</v>
      </c>
      <c r="R18" s="37">
        <v>1</v>
      </c>
      <c r="S18" s="37">
        <v>1</v>
      </c>
      <c r="T18" s="37">
        <v>1</v>
      </c>
      <c r="U18" s="37"/>
      <c r="V18" s="37">
        <v>1</v>
      </c>
      <c r="W18" s="37">
        <v>1</v>
      </c>
      <c r="X18" s="37">
        <v>1</v>
      </c>
      <c r="Y18" s="37"/>
      <c r="Z18" s="37"/>
      <c r="AA18" s="37">
        <v>1</v>
      </c>
      <c r="AB18" s="37">
        <v>1</v>
      </c>
      <c r="AC18" s="38">
        <f t="shared" si="0"/>
        <v>927400</v>
      </c>
    </row>
    <row r="19" s="2" customFormat="1" ht="13" customHeight="1" spans="1:29">
      <c r="A19" s="35">
        <v>7</v>
      </c>
      <c r="B19" s="36" t="s">
        <v>274</v>
      </c>
      <c r="C19" s="36" t="s">
        <v>35</v>
      </c>
      <c r="D19" s="36">
        <v>1983</v>
      </c>
      <c r="E19" s="37">
        <v>1</v>
      </c>
      <c r="F19" s="37"/>
      <c r="G19" s="37">
        <v>1</v>
      </c>
      <c r="H19" s="37">
        <v>1</v>
      </c>
      <c r="I19" s="37">
        <v>1</v>
      </c>
      <c r="J19" s="37">
        <v>1</v>
      </c>
      <c r="K19" s="37">
        <v>1</v>
      </c>
      <c r="L19" s="37">
        <v>1</v>
      </c>
      <c r="M19" s="37">
        <v>1</v>
      </c>
      <c r="N19" s="37">
        <v>1</v>
      </c>
      <c r="O19" s="37"/>
      <c r="P19" s="37">
        <v>1</v>
      </c>
      <c r="Q19" s="37">
        <v>1</v>
      </c>
      <c r="R19" s="37">
        <v>1</v>
      </c>
      <c r="S19" s="37">
        <v>1</v>
      </c>
      <c r="T19" s="37">
        <v>1</v>
      </c>
      <c r="U19" s="37"/>
      <c r="V19" s="37">
        <v>1</v>
      </c>
      <c r="W19" s="37">
        <v>1</v>
      </c>
      <c r="X19" s="37">
        <v>1</v>
      </c>
      <c r="Y19" s="37"/>
      <c r="Z19" s="37"/>
      <c r="AA19" s="37">
        <v>1</v>
      </c>
      <c r="AB19" s="37">
        <v>1</v>
      </c>
      <c r="AC19" s="38">
        <f t="shared" si="0"/>
        <v>927400</v>
      </c>
    </row>
    <row r="20" s="2" customFormat="1" ht="13" customHeight="1" spans="1:29">
      <c r="A20" s="35">
        <v>8</v>
      </c>
      <c r="B20" s="36" t="s">
        <v>295</v>
      </c>
      <c r="C20" s="36" t="s">
        <v>35</v>
      </c>
      <c r="D20" s="36">
        <v>1974</v>
      </c>
      <c r="E20" s="37">
        <v>1</v>
      </c>
      <c r="F20" s="37">
        <v>1</v>
      </c>
      <c r="G20" s="37">
        <v>1</v>
      </c>
      <c r="H20" s="37">
        <v>1</v>
      </c>
      <c r="I20" s="37">
        <v>1</v>
      </c>
      <c r="J20" s="37">
        <v>1</v>
      </c>
      <c r="K20" s="37">
        <v>1</v>
      </c>
      <c r="L20" s="37">
        <v>1</v>
      </c>
      <c r="M20" s="37">
        <v>1</v>
      </c>
      <c r="N20" s="37">
        <v>1</v>
      </c>
      <c r="O20" s="37"/>
      <c r="P20" s="37">
        <v>1</v>
      </c>
      <c r="Q20" s="37">
        <v>1</v>
      </c>
      <c r="R20" s="37">
        <v>1</v>
      </c>
      <c r="S20" s="37">
        <v>1</v>
      </c>
      <c r="T20" s="37">
        <v>1</v>
      </c>
      <c r="U20" s="37"/>
      <c r="V20" s="37">
        <v>1</v>
      </c>
      <c r="W20" s="37">
        <v>1</v>
      </c>
      <c r="X20" s="37">
        <v>1</v>
      </c>
      <c r="Y20" s="37">
        <v>1</v>
      </c>
      <c r="Z20" s="37"/>
      <c r="AA20" s="37">
        <v>1</v>
      </c>
      <c r="AB20" s="37">
        <v>1</v>
      </c>
      <c r="AC20" s="38">
        <f t="shared" si="0"/>
        <v>1162800</v>
      </c>
    </row>
    <row r="21" s="2" customFormat="1" ht="13" customHeight="1" spans="1:29">
      <c r="A21" s="35">
        <v>9</v>
      </c>
      <c r="B21" s="36" t="s">
        <v>317</v>
      </c>
      <c r="C21" s="36" t="s">
        <v>35</v>
      </c>
      <c r="D21" s="36">
        <v>1994</v>
      </c>
      <c r="E21" s="37">
        <v>1</v>
      </c>
      <c r="F21" s="37"/>
      <c r="G21" s="37">
        <v>1</v>
      </c>
      <c r="H21" s="37">
        <v>1</v>
      </c>
      <c r="I21" s="37">
        <v>1</v>
      </c>
      <c r="J21" s="37">
        <v>1</v>
      </c>
      <c r="K21" s="37">
        <v>1</v>
      </c>
      <c r="L21" s="37">
        <v>1</v>
      </c>
      <c r="M21" s="37">
        <v>1</v>
      </c>
      <c r="N21" s="37">
        <v>1</v>
      </c>
      <c r="O21" s="37"/>
      <c r="P21" s="37">
        <v>1</v>
      </c>
      <c r="Q21" s="37">
        <v>1</v>
      </c>
      <c r="R21" s="37">
        <v>1</v>
      </c>
      <c r="S21" s="37">
        <v>1</v>
      </c>
      <c r="T21" s="37">
        <v>1</v>
      </c>
      <c r="U21" s="37"/>
      <c r="V21" s="37">
        <v>1</v>
      </c>
      <c r="W21" s="37">
        <v>1</v>
      </c>
      <c r="X21" s="37">
        <v>1</v>
      </c>
      <c r="Y21" s="37"/>
      <c r="Z21" s="37"/>
      <c r="AA21" s="37">
        <v>1</v>
      </c>
      <c r="AB21" s="37">
        <v>1</v>
      </c>
      <c r="AC21" s="38">
        <f t="shared" si="0"/>
        <v>927400</v>
      </c>
    </row>
    <row r="22" s="2" customFormat="1" ht="13" customHeight="1" spans="1:29">
      <c r="A22" s="35">
        <v>10</v>
      </c>
      <c r="B22" s="36" t="s">
        <v>337</v>
      </c>
      <c r="C22" s="36" t="s">
        <v>35</v>
      </c>
      <c r="D22" s="36">
        <v>1986</v>
      </c>
      <c r="E22" s="37">
        <v>1</v>
      </c>
      <c r="F22" s="37"/>
      <c r="G22" s="37">
        <v>1</v>
      </c>
      <c r="H22" s="37">
        <v>1</v>
      </c>
      <c r="I22" s="37">
        <v>1</v>
      </c>
      <c r="J22" s="37">
        <v>1</v>
      </c>
      <c r="K22" s="37">
        <v>1</v>
      </c>
      <c r="L22" s="37">
        <v>1</v>
      </c>
      <c r="M22" s="37">
        <v>1</v>
      </c>
      <c r="N22" s="37">
        <v>1</v>
      </c>
      <c r="O22" s="37"/>
      <c r="P22" s="37">
        <v>1</v>
      </c>
      <c r="Q22" s="37">
        <v>1</v>
      </c>
      <c r="R22" s="37">
        <v>1</v>
      </c>
      <c r="S22" s="37">
        <v>1</v>
      </c>
      <c r="T22" s="37">
        <v>1</v>
      </c>
      <c r="U22" s="37"/>
      <c r="V22" s="37">
        <v>1</v>
      </c>
      <c r="W22" s="37">
        <v>1</v>
      </c>
      <c r="X22" s="37">
        <v>1</v>
      </c>
      <c r="Y22" s="37"/>
      <c r="Z22" s="37"/>
      <c r="AA22" s="37">
        <v>1</v>
      </c>
      <c r="AB22" s="37">
        <v>1</v>
      </c>
      <c r="AC22" s="38">
        <f t="shared" si="0"/>
        <v>927400</v>
      </c>
    </row>
    <row r="23" s="2" customFormat="1" ht="13" customHeight="1" spans="1:29">
      <c r="A23" s="35">
        <v>11</v>
      </c>
      <c r="B23" s="36" t="s">
        <v>356</v>
      </c>
      <c r="C23" s="36" t="s">
        <v>34</v>
      </c>
      <c r="D23" s="36">
        <v>1973</v>
      </c>
      <c r="E23" s="37">
        <v>1</v>
      </c>
      <c r="F23" s="37"/>
      <c r="G23" s="37">
        <v>1</v>
      </c>
      <c r="H23" s="37">
        <v>1</v>
      </c>
      <c r="I23" s="37"/>
      <c r="J23" s="37">
        <v>1</v>
      </c>
      <c r="K23" s="37">
        <v>1</v>
      </c>
      <c r="L23" s="37">
        <v>1</v>
      </c>
      <c r="M23" s="37">
        <v>1</v>
      </c>
      <c r="N23" s="37">
        <v>1</v>
      </c>
      <c r="O23" s="37">
        <v>1</v>
      </c>
      <c r="P23" s="37">
        <v>1</v>
      </c>
      <c r="Q23" s="37">
        <v>1</v>
      </c>
      <c r="R23" s="37">
        <v>1</v>
      </c>
      <c r="S23" s="37">
        <v>1</v>
      </c>
      <c r="T23" s="37">
        <v>1</v>
      </c>
      <c r="U23" s="37">
        <v>1</v>
      </c>
      <c r="V23" s="37">
        <v>1</v>
      </c>
      <c r="W23" s="37">
        <v>1</v>
      </c>
      <c r="X23" s="37">
        <v>1</v>
      </c>
      <c r="Y23" s="37"/>
      <c r="Z23" s="37">
        <v>1</v>
      </c>
      <c r="AA23" s="37">
        <v>1</v>
      </c>
      <c r="AB23" s="37">
        <v>1</v>
      </c>
      <c r="AC23" s="38">
        <f t="shared" si="0"/>
        <v>1006500</v>
      </c>
    </row>
    <row r="24" s="2" customFormat="1" ht="13" customHeight="1" spans="1:29">
      <c r="A24" s="35">
        <v>12</v>
      </c>
      <c r="B24" s="36" t="s">
        <v>381</v>
      </c>
      <c r="C24" s="36" t="s">
        <v>35</v>
      </c>
      <c r="D24" s="36">
        <v>1987</v>
      </c>
      <c r="E24" s="37">
        <v>1</v>
      </c>
      <c r="F24" s="37">
        <v>1</v>
      </c>
      <c r="G24" s="37">
        <v>1</v>
      </c>
      <c r="H24" s="37">
        <v>1</v>
      </c>
      <c r="I24" s="37">
        <v>1</v>
      </c>
      <c r="J24" s="37">
        <v>1</v>
      </c>
      <c r="K24" s="37">
        <v>1</v>
      </c>
      <c r="L24" s="37">
        <v>1</v>
      </c>
      <c r="M24" s="37">
        <v>1</v>
      </c>
      <c r="N24" s="37">
        <v>1</v>
      </c>
      <c r="O24" s="37"/>
      <c r="P24" s="37">
        <v>1</v>
      </c>
      <c r="Q24" s="37">
        <v>1</v>
      </c>
      <c r="R24" s="37">
        <v>1</v>
      </c>
      <c r="S24" s="37">
        <v>1</v>
      </c>
      <c r="T24" s="37">
        <v>1</v>
      </c>
      <c r="U24" s="37"/>
      <c r="V24" s="37">
        <v>1</v>
      </c>
      <c r="W24" s="37">
        <v>1</v>
      </c>
      <c r="X24" s="37">
        <v>1</v>
      </c>
      <c r="Y24" s="37">
        <v>1</v>
      </c>
      <c r="Z24" s="37"/>
      <c r="AA24" s="37">
        <v>1</v>
      </c>
      <c r="AB24" s="37">
        <v>1</v>
      </c>
      <c r="AC24" s="38">
        <f t="shared" si="0"/>
        <v>1162800</v>
      </c>
    </row>
    <row r="25" s="2" customFormat="1" ht="13" customHeight="1" spans="1:29">
      <c r="A25" s="35">
        <v>13</v>
      </c>
      <c r="B25" s="36" t="s">
        <v>402</v>
      </c>
      <c r="C25" s="36" t="s">
        <v>35</v>
      </c>
      <c r="D25" s="36">
        <v>1976</v>
      </c>
      <c r="E25" s="37">
        <v>1</v>
      </c>
      <c r="F25" s="37">
        <v>1</v>
      </c>
      <c r="G25" s="37">
        <v>1</v>
      </c>
      <c r="H25" s="37">
        <v>1</v>
      </c>
      <c r="I25" s="37">
        <v>1</v>
      </c>
      <c r="J25" s="37">
        <v>1</v>
      </c>
      <c r="K25" s="37">
        <v>1</v>
      </c>
      <c r="L25" s="37">
        <v>1</v>
      </c>
      <c r="M25" s="37">
        <v>1</v>
      </c>
      <c r="N25" s="37">
        <v>1</v>
      </c>
      <c r="O25" s="37"/>
      <c r="P25" s="37">
        <v>1</v>
      </c>
      <c r="Q25" s="37">
        <v>1</v>
      </c>
      <c r="R25" s="37">
        <v>1</v>
      </c>
      <c r="S25" s="37">
        <v>1</v>
      </c>
      <c r="T25" s="37">
        <v>1</v>
      </c>
      <c r="U25" s="37"/>
      <c r="V25" s="37">
        <v>1</v>
      </c>
      <c r="W25" s="37">
        <v>1</v>
      </c>
      <c r="X25" s="37">
        <v>1</v>
      </c>
      <c r="Y25" s="37">
        <v>1</v>
      </c>
      <c r="Z25" s="37"/>
      <c r="AA25" s="37">
        <v>1</v>
      </c>
      <c r="AB25" s="37">
        <v>1</v>
      </c>
      <c r="AC25" s="38">
        <f t="shared" si="0"/>
        <v>1162800</v>
      </c>
    </row>
    <row r="26" s="2" customFormat="1" ht="13" customHeight="1" spans="1:29">
      <c r="A26" s="35">
        <v>14</v>
      </c>
      <c r="B26" s="36" t="s">
        <v>424</v>
      </c>
      <c r="C26" s="36" t="s">
        <v>34</v>
      </c>
      <c r="D26" s="36">
        <v>1973</v>
      </c>
      <c r="E26" s="37">
        <v>1</v>
      </c>
      <c r="F26" s="37"/>
      <c r="G26" s="37">
        <v>1</v>
      </c>
      <c r="H26" s="37">
        <v>1</v>
      </c>
      <c r="I26" s="37"/>
      <c r="J26" s="37">
        <v>1</v>
      </c>
      <c r="K26" s="37">
        <v>1</v>
      </c>
      <c r="L26" s="37">
        <v>1</v>
      </c>
      <c r="M26" s="37">
        <v>1</v>
      </c>
      <c r="N26" s="37">
        <v>1</v>
      </c>
      <c r="O26" s="37">
        <v>1</v>
      </c>
      <c r="P26" s="37">
        <v>1</v>
      </c>
      <c r="Q26" s="37">
        <v>1</v>
      </c>
      <c r="R26" s="37">
        <v>1</v>
      </c>
      <c r="S26" s="37">
        <v>1</v>
      </c>
      <c r="T26" s="37">
        <v>1</v>
      </c>
      <c r="U26" s="37">
        <v>1</v>
      </c>
      <c r="V26" s="37">
        <v>1</v>
      </c>
      <c r="W26" s="37">
        <v>1</v>
      </c>
      <c r="X26" s="37">
        <v>1</v>
      </c>
      <c r="Y26" s="37"/>
      <c r="Z26" s="37">
        <v>1</v>
      </c>
      <c r="AA26" s="37">
        <v>1</v>
      </c>
      <c r="AB26" s="37">
        <v>1</v>
      </c>
      <c r="AC26" s="38">
        <f t="shared" si="0"/>
        <v>1006500</v>
      </c>
    </row>
    <row r="27" s="2" customFormat="1" ht="13" customHeight="1" spans="1:29">
      <c r="A27" s="35">
        <v>15</v>
      </c>
      <c r="B27" s="36" t="s">
        <v>444</v>
      </c>
      <c r="C27" s="36" t="s">
        <v>35</v>
      </c>
      <c r="D27" s="36">
        <v>1979</v>
      </c>
      <c r="E27" s="37">
        <v>1</v>
      </c>
      <c r="F27" s="37">
        <v>1</v>
      </c>
      <c r="G27" s="37">
        <v>1</v>
      </c>
      <c r="H27" s="37">
        <v>1</v>
      </c>
      <c r="I27" s="37">
        <v>1</v>
      </c>
      <c r="J27" s="37">
        <v>1</v>
      </c>
      <c r="K27" s="37">
        <v>1</v>
      </c>
      <c r="L27" s="37">
        <v>1</v>
      </c>
      <c r="M27" s="37">
        <v>1</v>
      </c>
      <c r="N27" s="37">
        <v>1</v>
      </c>
      <c r="O27" s="37"/>
      <c r="P27" s="37">
        <v>1</v>
      </c>
      <c r="Q27" s="37">
        <v>1</v>
      </c>
      <c r="R27" s="37">
        <v>1</v>
      </c>
      <c r="S27" s="37">
        <v>1</v>
      </c>
      <c r="T27" s="37">
        <v>1</v>
      </c>
      <c r="U27" s="37"/>
      <c r="V27" s="37">
        <v>1</v>
      </c>
      <c r="W27" s="37">
        <v>1</v>
      </c>
      <c r="X27" s="37">
        <v>1</v>
      </c>
      <c r="Y27" s="37">
        <v>1</v>
      </c>
      <c r="Z27" s="37"/>
      <c r="AA27" s="37">
        <v>1</v>
      </c>
      <c r="AB27" s="37">
        <v>1</v>
      </c>
      <c r="AC27" s="38">
        <f t="shared" si="0"/>
        <v>1162800</v>
      </c>
    </row>
    <row r="28" s="2" customFormat="1" ht="13" customHeight="1" spans="1:29">
      <c r="A28" s="35">
        <v>16</v>
      </c>
      <c r="B28" s="36" t="s">
        <v>466</v>
      </c>
      <c r="C28" s="36" t="s">
        <v>34</v>
      </c>
      <c r="D28" s="36">
        <v>1975</v>
      </c>
      <c r="E28" s="37">
        <v>1</v>
      </c>
      <c r="F28" s="37"/>
      <c r="G28" s="37">
        <v>1</v>
      </c>
      <c r="H28" s="37">
        <v>1</v>
      </c>
      <c r="I28" s="37"/>
      <c r="J28" s="37">
        <v>1</v>
      </c>
      <c r="K28" s="37">
        <v>1</v>
      </c>
      <c r="L28" s="37">
        <v>1</v>
      </c>
      <c r="M28" s="37">
        <v>1</v>
      </c>
      <c r="N28" s="37">
        <v>1</v>
      </c>
      <c r="O28" s="37">
        <v>1</v>
      </c>
      <c r="P28" s="37">
        <v>1</v>
      </c>
      <c r="Q28" s="37">
        <v>1</v>
      </c>
      <c r="R28" s="37">
        <v>1</v>
      </c>
      <c r="S28" s="37">
        <v>1</v>
      </c>
      <c r="T28" s="37">
        <v>1</v>
      </c>
      <c r="U28" s="37">
        <v>1</v>
      </c>
      <c r="V28" s="37">
        <v>1</v>
      </c>
      <c r="W28" s="37">
        <v>1</v>
      </c>
      <c r="X28" s="37">
        <v>1</v>
      </c>
      <c r="Y28" s="37"/>
      <c r="Z28" s="37">
        <v>1</v>
      </c>
      <c r="AA28" s="37">
        <v>1</v>
      </c>
      <c r="AB28" s="37">
        <v>1</v>
      </c>
      <c r="AC28" s="38">
        <f t="shared" si="0"/>
        <v>1006500</v>
      </c>
    </row>
    <row r="29" s="2" customFormat="1" ht="13" customHeight="1" spans="1:29">
      <c r="A29" s="35">
        <v>17</v>
      </c>
      <c r="B29" s="36" t="s">
        <v>488</v>
      </c>
      <c r="C29" s="36" t="s">
        <v>35</v>
      </c>
      <c r="D29" s="36">
        <v>1975</v>
      </c>
      <c r="E29" s="37">
        <v>1</v>
      </c>
      <c r="F29" s="37">
        <v>1</v>
      </c>
      <c r="G29" s="37">
        <v>1</v>
      </c>
      <c r="H29" s="37">
        <v>1</v>
      </c>
      <c r="I29" s="37">
        <v>1</v>
      </c>
      <c r="J29" s="37">
        <v>1</v>
      </c>
      <c r="K29" s="37">
        <v>1</v>
      </c>
      <c r="L29" s="37">
        <v>1</v>
      </c>
      <c r="M29" s="37">
        <v>1</v>
      </c>
      <c r="N29" s="37">
        <v>1</v>
      </c>
      <c r="O29" s="37"/>
      <c r="P29" s="37">
        <v>1</v>
      </c>
      <c r="Q29" s="37">
        <v>1</v>
      </c>
      <c r="R29" s="37">
        <v>1</v>
      </c>
      <c r="S29" s="37">
        <v>1</v>
      </c>
      <c r="T29" s="37">
        <v>1</v>
      </c>
      <c r="U29" s="37"/>
      <c r="V29" s="37">
        <v>1</v>
      </c>
      <c r="W29" s="37">
        <v>1</v>
      </c>
      <c r="X29" s="37">
        <v>1</v>
      </c>
      <c r="Y29" s="37">
        <v>1</v>
      </c>
      <c r="Z29" s="37"/>
      <c r="AA29" s="37">
        <v>1</v>
      </c>
      <c r="AB29" s="37">
        <v>1</v>
      </c>
      <c r="AC29" s="38">
        <f t="shared" si="0"/>
        <v>1162800</v>
      </c>
    </row>
    <row r="30" s="2" customFormat="1" ht="13" customHeight="1" spans="1:29">
      <c r="A30" s="35">
        <v>18</v>
      </c>
      <c r="B30" s="36" t="s">
        <v>507</v>
      </c>
      <c r="C30" s="36" t="s">
        <v>35</v>
      </c>
      <c r="D30" s="36">
        <v>1984</v>
      </c>
      <c r="E30" s="37">
        <v>1</v>
      </c>
      <c r="F30" s="37"/>
      <c r="G30" s="37">
        <v>1</v>
      </c>
      <c r="H30" s="37">
        <v>1</v>
      </c>
      <c r="I30" s="37">
        <v>1</v>
      </c>
      <c r="J30" s="37">
        <v>1</v>
      </c>
      <c r="K30" s="37">
        <v>1</v>
      </c>
      <c r="L30" s="37">
        <v>1</v>
      </c>
      <c r="M30" s="37">
        <v>1</v>
      </c>
      <c r="N30" s="37">
        <v>1</v>
      </c>
      <c r="O30" s="37"/>
      <c r="P30" s="37">
        <v>1</v>
      </c>
      <c r="Q30" s="37">
        <v>1</v>
      </c>
      <c r="R30" s="37">
        <v>1</v>
      </c>
      <c r="S30" s="37">
        <v>1</v>
      </c>
      <c r="T30" s="37">
        <v>1</v>
      </c>
      <c r="U30" s="37"/>
      <c r="V30" s="37">
        <v>1</v>
      </c>
      <c r="W30" s="37">
        <v>1</v>
      </c>
      <c r="X30" s="37">
        <v>1</v>
      </c>
      <c r="Y30" s="37"/>
      <c r="Z30" s="37"/>
      <c r="AA30" s="37">
        <v>1</v>
      </c>
      <c r="AB30" s="37">
        <v>1</v>
      </c>
      <c r="AC30" s="38">
        <f t="shared" si="0"/>
        <v>927400</v>
      </c>
    </row>
    <row r="31" s="2" customFormat="1" ht="13" customHeight="1" spans="1:29">
      <c r="A31" s="35">
        <v>19</v>
      </c>
      <c r="B31" s="36" t="s">
        <v>526</v>
      </c>
      <c r="C31" s="36" t="s">
        <v>34</v>
      </c>
      <c r="D31" s="36">
        <v>1966</v>
      </c>
      <c r="E31" s="37">
        <v>1</v>
      </c>
      <c r="F31" s="37"/>
      <c r="G31" s="37">
        <v>1</v>
      </c>
      <c r="H31" s="37">
        <v>1</v>
      </c>
      <c r="I31" s="37"/>
      <c r="J31" s="37">
        <v>1</v>
      </c>
      <c r="K31" s="37">
        <v>1</v>
      </c>
      <c r="L31" s="37">
        <v>1</v>
      </c>
      <c r="M31" s="37">
        <v>1</v>
      </c>
      <c r="N31" s="37">
        <v>1</v>
      </c>
      <c r="O31" s="37">
        <v>1</v>
      </c>
      <c r="P31" s="37">
        <v>1</v>
      </c>
      <c r="Q31" s="37">
        <v>1</v>
      </c>
      <c r="R31" s="37">
        <v>1</v>
      </c>
      <c r="S31" s="37">
        <v>1</v>
      </c>
      <c r="T31" s="37">
        <v>1</v>
      </c>
      <c r="U31" s="37">
        <v>1</v>
      </c>
      <c r="V31" s="37">
        <v>1</v>
      </c>
      <c r="W31" s="37">
        <v>1</v>
      </c>
      <c r="X31" s="37">
        <v>1</v>
      </c>
      <c r="Y31" s="37"/>
      <c r="Z31" s="37">
        <v>1</v>
      </c>
      <c r="AA31" s="37">
        <v>1</v>
      </c>
      <c r="AB31" s="37">
        <v>1</v>
      </c>
      <c r="AC31" s="38">
        <f t="shared" si="0"/>
        <v>1006500</v>
      </c>
    </row>
    <row r="32" s="2" customFormat="1" ht="13" customHeight="1" spans="1:29">
      <c r="A32" s="35">
        <v>20</v>
      </c>
      <c r="B32" s="36" t="s">
        <v>550</v>
      </c>
      <c r="C32" s="36" t="s">
        <v>35</v>
      </c>
      <c r="D32" s="36">
        <v>1987</v>
      </c>
      <c r="E32" s="37">
        <v>1</v>
      </c>
      <c r="F32" s="37"/>
      <c r="G32" s="37">
        <v>1</v>
      </c>
      <c r="H32" s="37">
        <v>1</v>
      </c>
      <c r="I32" s="37">
        <v>1</v>
      </c>
      <c r="J32" s="37">
        <v>1</v>
      </c>
      <c r="K32" s="37">
        <v>1</v>
      </c>
      <c r="L32" s="37">
        <v>1</v>
      </c>
      <c r="M32" s="37">
        <v>1</v>
      </c>
      <c r="N32" s="37">
        <v>1</v>
      </c>
      <c r="O32" s="37"/>
      <c r="P32" s="37">
        <v>1</v>
      </c>
      <c r="Q32" s="37">
        <v>1</v>
      </c>
      <c r="R32" s="37">
        <v>1</v>
      </c>
      <c r="S32" s="37">
        <v>1</v>
      </c>
      <c r="T32" s="37">
        <v>1</v>
      </c>
      <c r="U32" s="37"/>
      <c r="V32" s="37">
        <v>1</v>
      </c>
      <c r="W32" s="37">
        <v>1</v>
      </c>
      <c r="X32" s="37">
        <v>1</v>
      </c>
      <c r="Y32" s="37"/>
      <c r="Z32" s="37"/>
      <c r="AA32" s="37">
        <v>1</v>
      </c>
      <c r="AB32" s="37">
        <v>1</v>
      </c>
      <c r="AC32" s="38">
        <f t="shared" si="0"/>
        <v>927400</v>
      </c>
    </row>
    <row r="33" s="2" customFormat="1" ht="13" customHeight="1" spans="1:29">
      <c r="A33" s="35">
        <v>21</v>
      </c>
      <c r="B33" s="36" t="s">
        <v>567</v>
      </c>
      <c r="C33" s="36" t="s">
        <v>35</v>
      </c>
      <c r="D33" s="36">
        <v>1983</v>
      </c>
      <c r="E33" s="37">
        <v>1</v>
      </c>
      <c r="F33" s="37"/>
      <c r="G33" s="37">
        <v>1</v>
      </c>
      <c r="H33" s="37">
        <v>1</v>
      </c>
      <c r="I33" s="37">
        <v>1</v>
      </c>
      <c r="J33" s="37">
        <v>1</v>
      </c>
      <c r="K33" s="37">
        <v>1</v>
      </c>
      <c r="L33" s="37">
        <v>1</v>
      </c>
      <c r="M33" s="37">
        <v>1</v>
      </c>
      <c r="N33" s="37">
        <v>1</v>
      </c>
      <c r="O33" s="37"/>
      <c r="P33" s="37">
        <v>1</v>
      </c>
      <c r="Q33" s="37">
        <v>1</v>
      </c>
      <c r="R33" s="37">
        <v>1</v>
      </c>
      <c r="S33" s="37">
        <v>1</v>
      </c>
      <c r="T33" s="37">
        <v>1</v>
      </c>
      <c r="U33" s="37"/>
      <c r="V33" s="37">
        <v>1</v>
      </c>
      <c r="W33" s="37">
        <v>1</v>
      </c>
      <c r="X33" s="37">
        <v>1</v>
      </c>
      <c r="Y33" s="37"/>
      <c r="Z33" s="37"/>
      <c r="AA33" s="37">
        <v>1</v>
      </c>
      <c r="AB33" s="37">
        <v>1</v>
      </c>
      <c r="AC33" s="38">
        <f t="shared" si="0"/>
        <v>927400</v>
      </c>
    </row>
    <row r="34" s="2" customFormat="1" ht="13" customHeight="1" spans="1:29">
      <c r="A34" s="35">
        <v>22</v>
      </c>
      <c r="B34" s="36" t="s">
        <v>584</v>
      </c>
      <c r="C34" s="36" t="s">
        <v>35</v>
      </c>
      <c r="D34" s="36">
        <v>1977</v>
      </c>
      <c r="E34" s="37">
        <v>1</v>
      </c>
      <c r="F34" s="37">
        <v>1</v>
      </c>
      <c r="G34" s="37">
        <v>1</v>
      </c>
      <c r="H34" s="37">
        <v>1</v>
      </c>
      <c r="I34" s="37">
        <v>1</v>
      </c>
      <c r="J34" s="37">
        <v>1</v>
      </c>
      <c r="K34" s="37">
        <v>1</v>
      </c>
      <c r="L34" s="37">
        <v>1</v>
      </c>
      <c r="M34" s="37">
        <v>1</v>
      </c>
      <c r="N34" s="37">
        <v>1</v>
      </c>
      <c r="O34" s="37"/>
      <c r="P34" s="37">
        <v>1</v>
      </c>
      <c r="Q34" s="37">
        <v>1</v>
      </c>
      <c r="R34" s="37">
        <v>1</v>
      </c>
      <c r="S34" s="37">
        <v>1</v>
      </c>
      <c r="T34" s="37">
        <v>1</v>
      </c>
      <c r="U34" s="37"/>
      <c r="V34" s="37">
        <v>1</v>
      </c>
      <c r="W34" s="37">
        <v>1</v>
      </c>
      <c r="X34" s="37">
        <v>1</v>
      </c>
      <c r="Y34" s="37">
        <v>1</v>
      </c>
      <c r="Z34" s="37"/>
      <c r="AA34" s="37">
        <v>1</v>
      </c>
      <c r="AB34" s="37">
        <v>1</v>
      </c>
      <c r="AC34" s="38">
        <f t="shared" si="0"/>
        <v>1162800</v>
      </c>
    </row>
    <row r="35" s="2" customFormat="1" ht="13" customHeight="1" spans="1:29">
      <c r="A35" s="35">
        <v>23</v>
      </c>
      <c r="B35" s="36" t="s">
        <v>606</v>
      </c>
      <c r="C35" s="36" t="s">
        <v>35</v>
      </c>
      <c r="D35" s="36">
        <v>1974</v>
      </c>
      <c r="E35" s="37">
        <v>1</v>
      </c>
      <c r="F35" s="37"/>
      <c r="G35" s="37">
        <v>1</v>
      </c>
      <c r="H35" s="37">
        <v>1</v>
      </c>
      <c r="I35" s="37">
        <v>1</v>
      </c>
      <c r="J35" s="37">
        <v>1</v>
      </c>
      <c r="K35" s="37">
        <v>1</v>
      </c>
      <c r="L35" s="37">
        <v>1</v>
      </c>
      <c r="M35" s="37">
        <v>1</v>
      </c>
      <c r="N35" s="37">
        <v>1</v>
      </c>
      <c r="O35" s="37"/>
      <c r="P35" s="37">
        <v>1</v>
      </c>
      <c r="Q35" s="37">
        <v>1</v>
      </c>
      <c r="R35" s="37">
        <v>1</v>
      </c>
      <c r="S35" s="37">
        <v>1</v>
      </c>
      <c r="T35" s="37">
        <v>1</v>
      </c>
      <c r="U35" s="37"/>
      <c r="V35" s="37">
        <v>1</v>
      </c>
      <c r="W35" s="37">
        <v>1</v>
      </c>
      <c r="X35" s="37">
        <v>1</v>
      </c>
      <c r="Y35" s="37"/>
      <c r="Z35" s="37"/>
      <c r="AA35" s="37">
        <v>1</v>
      </c>
      <c r="AB35" s="37">
        <v>1</v>
      </c>
      <c r="AC35" s="38">
        <f t="shared" si="0"/>
        <v>927400</v>
      </c>
    </row>
    <row r="36" s="2" customFormat="1" ht="13" customHeight="1" spans="1:29">
      <c r="A36" s="35">
        <v>24</v>
      </c>
      <c r="B36" s="36" t="s">
        <v>628</v>
      </c>
      <c r="C36" s="36" t="s">
        <v>34</v>
      </c>
      <c r="D36" s="36">
        <v>1972</v>
      </c>
      <c r="E36" s="37">
        <v>1</v>
      </c>
      <c r="F36" s="37"/>
      <c r="G36" s="37">
        <v>1</v>
      </c>
      <c r="H36" s="37">
        <v>1</v>
      </c>
      <c r="I36" s="37"/>
      <c r="J36" s="37">
        <v>1</v>
      </c>
      <c r="K36" s="37">
        <v>1</v>
      </c>
      <c r="L36" s="37">
        <v>1</v>
      </c>
      <c r="M36" s="37">
        <v>1</v>
      </c>
      <c r="N36" s="37">
        <v>1</v>
      </c>
      <c r="O36" s="37">
        <v>1</v>
      </c>
      <c r="P36" s="37">
        <v>1</v>
      </c>
      <c r="Q36" s="37">
        <v>1</v>
      </c>
      <c r="R36" s="37">
        <v>1</v>
      </c>
      <c r="S36" s="37">
        <v>1</v>
      </c>
      <c r="T36" s="37">
        <v>1</v>
      </c>
      <c r="U36" s="37">
        <v>1</v>
      </c>
      <c r="V36" s="37">
        <v>1</v>
      </c>
      <c r="W36" s="37">
        <v>1</v>
      </c>
      <c r="X36" s="37">
        <v>1</v>
      </c>
      <c r="Y36" s="37"/>
      <c r="Z36" s="37">
        <v>1</v>
      </c>
      <c r="AA36" s="37">
        <v>1</v>
      </c>
      <c r="AB36" s="37">
        <v>1</v>
      </c>
      <c r="AC36" s="38">
        <f t="shared" si="0"/>
        <v>1006500</v>
      </c>
    </row>
    <row r="37" s="2" customFormat="1" ht="13" customHeight="1" spans="1:29">
      <c r="A37" s="35">
        <v>25</v>
      </c>
      <c r="B37" s="36" t="s">
        <v>649</v>
      </c>
      <c r="C37" s="36" t="s">
        <v>34</v>
      </c>
      <c r="D37" s="36">
        <v>1972</v>
      </c>
      <c r="E37" s="37">
        <v>1</v>
      </c>
      <c r="F37" s="37"/>
      <c r="G37" s="37">
        <v>1</v>
      </c>
      <c r="H37" s="37">
        <v>1</v>
      </c>
      <c r="I37" s="37"/>
      <c r="J37" s="37">
        <v>1</v>
      </c>
      <c r="K37" s="37">
        <v>1</v>
      </c>
      <c r="L37" s="37">
        <v>1</v>
      </c>
      <c r="M37" s="37">
        <v>1</v>
      </c>
      <c r="N37" s="37">
        <v>1</v>
      </c>
      <c r="O37" s="37">
        <v>1</v>
      </c>
      <c r="P37" s="37">
        <v>1</v>
      </c>
      <c r="Q37" s="37">
        <v>1</v>
      </c>
      <c r="R37" s="37">
        <v>1</v>
      </c>
      <c r="S37" s="37">
        <v>1</v>
      </c>
      <c r="T37" s="37">
        <v>1</v>
      </c>
      <c r="U37" s="37">
        <v>1</v>
      </c>
      <c r="V37" s="37">
        <v>1</v>
      </c>
      <c r="W37" s="37">
        <v>1</v>
      </c>
      <c r="X37" s="37">
        <v>1</v>
      </c>
      <c r="Y37" s="37"/>
      <c r="Z37" s="37">
        <v>1</v>
      </c>
      <c r="AA37" s="37">
        <v>1</v>
      </c>
      <c r="AB37" s="37">
        <v>1</v>
      </c>
      <c r="AC37" s="38">
        <f t="shared" si="0"/>
        <v>1006500</v>
      </c>
    </row>
    <row r="38" s="2" customFormat="1" ht="13" customHeight="1" spans="1:29">
      <c r="A38" s="35">
        <v>26</v>
      </c>
      <c r="B38" s="36" t="s">
        <v>675</v>
      </c>
      <c r="C38" s="36" t="s">
        <v>34</v>
      </c>
      <c r="D38" s="36">
        <v>1975</v>
      </c>
      <c r="E38" s="37">
        <v>1</v>
      </c>
      <c r="F38" s="37"/>
      <c r="G38" s="37">
        <v>1</v>
      </c>
      <c r="H38" s="37">
        <v>1</v>
      </c>
      <c r="I38" s="37"/>
      <c r="J38" s="37">
        <v>1</v>
      </c>
      <c r="K38" s="37">
        <v>1</v>
      </c>
      <c r="L38" s="37">
        <v>1</v>
      </c>
      <c r="M38" s="37">
        <v>1</v>
      </c>
      <c r="N38" s="37">
        <v>1</v>
      </c>
      <c r="O38" s="37">
        <v>1</v>
      </c>
      <c r="P38" s="37">
        <v>1</v>
      </c>
      <c r="Q38" s="37">
        <v>1</v>
      </c>
      <c r="R38" s="37">
        <v>1</v>
      </c>
      <c r="S38" s="37">
        <v>1</v>
      </c>
      <c r="T38" s="37">
        <v>1</v>
      </c>
      <c r="U38" s="37">
        <v>1</v>
      </c>
      <c r="V38" s="37">
        <v>1</v>
      </c>
      <c r="W38" s="37">
        <v>1</v>
      </c>
      <c r="X38" s="37">
        <v>1</v>
      </c>
      <c r="Y38" s="37"/>
      <c r="Z38" s="37">
        <v>1</v>
      </c>
      <c r="AA38" s="37">
        <v>1</v>
      </c>
      <c r="AB38" s="37">
        <v>1</v>
      </c>
      <c r="AC38" s="38">
        <f t="shared" si="0"/>
        <v>1006500</v>
      </c>
    </row>
    <row r="39" s="2" customFormat="1" ht="13" customHeight="1" spans="1:29">
      <c r="A39" s="35">
        <v>27</v>
      </c>
      <c r="B39" s="36" t="s">
        <v>698</v>
      </c>
      <c r="C39" s="36" t="s">
        <v>35</v>
      </c>
      <c r="D39" s="36">
        <v>1986</v>
      </c>
      <c r="E39" s="37">
        <v>1</v>
      </c>
      <c r="F39" s="37"/>
      <c r="G39" s="37">
        <v>1</v>
      </c>
      <c r="H39" s="37">
        <v>1</v>
      </c>
      <c r="I39" s="37">
        <v>1</v>
      </c>
      <c r="J39" s="37">
        <v>1</v>
      </c>
      <c r="K39" s="37">
        <v>1</v>
      </c>
      <c r="L39" s="37">
        <v>1</v>
      </c>
      <c r="M39" s="37">
        <v>1</v>
      </c>
      <c r="N39" s="37">
        <v>1</v>
      </c>
      <c r="O39" s="37"/>
      <c r="P39" s="37">
        <v>1</v>
      </c>
      <c r="Q39" s="37">
        <v>1</v>
      </c>
      <c r="R39" s="37">
        <v>1</v>
      </c>
      <c r="S39" s="37">
        <v>1</v>
      </c>
      <c r="T39" s="37">
        <v>1</v>
      </c>
      <c r="U39" s="37"/>
      <c r="V39" s="37">
        <v>1</v>
      </c>
      <c r="W39" s="37">
        <v>1</v>
      </c>
      <c r="X39" s="37">
        <v>1</v>
      </c>
      <c r="Y39" s="37"/>
      <c r="Z39" s="37"/>
      <c r="AA39" s="37">
        <v>1</v>
      </c>
      <c r="AB39" s="37">
        <v>1</v>
      </c>
      <c r="AC39" s="38">
        <f t="shared" si="0"/>
        <v>927400</v>
      </c>
    </row>
    <row r="40" s="2" customFormat="1" ht="13" customHeight="1" spans="1:29">
      <c r="A40" s="35">
        <v>28</v>
      </c>
      <c r="B40" s="36" t="s">
        <v>713</v>
      </c>
      <c r="C40" s="36" t="s">
        <v>34</v>
      </c>
      <c r="D40" s="36">
        <v>1965</v>
      </c>
      <c r="E40" s="37">
        <v>1</v>
      </c>
      <c r="F40" s="37"/>
      <c r="G40" s="37">
        <v>1</v>
      </c>
      <c r="H40" s="37">
        <v>1</v>
      </c>
      <c r="I40" s="37"/>
      <c r="J40" s="37">
        <v>1</v>
      </c>
      <c r="K40" s="37">
        <v>1</v>
      </c>
      <c r="L40" s="37">
        <v>1</v>
      </c>
      <c r="M40" s="37">
        <v>1</v>
      </c>
      <c r="N40" s="37">
        <v>1</v>
      </c>
      <c r="O40" s="37">
        <v>1</v>
      </c>
      <c r="P40" s="37">
        <v>1</v>
      </c>
      <c r="Q40" s="37">
        <v>1</v>
      </c>
      <c r="R40" s="37">
        <v>1</v>
      </c>
      <c r="S40" s="37">
        <v>1</v>
      </c>
      <c r="T40" s="37">
        <v>1</v>
      </c>
      <c r="U40" s="37">
        <v>1</v>
      </c>
      <c r="V40" s="37">
        <v>1</v>
      </c>
      <c r="W40" s="37">
        <v>1</v>
      </c>
      <c r="X40" s="37">
        <v>1</v>
      </c>
      <c r="Y40" s="37"/>
      <c r="Z40" s="37">
        <v>1</v>
      </c>
      <c r="AA40" s="37">
        <v>1</v>
      </c>
      <c r="AB40" s="37">
        <v>1</v>
      </c>
      <c r="AC40" s="38">
        <f t="shared" si="0"/>
        <v>1006500</v>
      </c>
    </row>
    <row r="41" s="2" customFormat="1" ht="13" customHeight="1" spans="1:29">
      <c r="A41" s="35">
        <v>29</v>
      </c>
      <c r="B41" s="36" t="s">
        <v>739</v>
      </c>
      <c r="C41" s="36" t="s">
        <v>35</v>
      </c>
      <c r="D41" s="36">
        <v>1979</v>
      </c>
      <c r="E41" s="37">
        <v>1</v>
      </c>
      <c r="F41" s="37">
        <v>1</v>
      </c>
      <c r="G41" s="37">
        <v>1</v>
      </c>
      <c r="H41" s="37">
        <v>1</v>
      </c>
      <c r="I41" s="37">
        <v>1</v>
      </c>
      <c r="J41" s="37">
        <v>1</v>
      </c>
      <c r="K41" s="37">
        <v>1</v>
      </c>
      <c r="L41" s="37">
        <v>1</v>
      </c>
      <c r="M41" s="37">
        <v>1</v>
      </c>
      <c r="N41" s="37">
        <v>1</v>
      </c>
      <c r="O41" s="37"/>
      <c r="P41" s="37">
        <v>1</v>
      </c>
      <c r="Q41" s="37">
        <v>1</v>
      </c>
      <c r="R41" s="37">
        <v>1</v>
      </c>
      <c r="S41" s="37">
        <v>1</v>
      </c>
      <c r="T41" s="37">
        <v>1</v>
      </c>
      <c r="U41" s="37"/>
      <c r="V41" s="37">
        <v>1</v>
      </c>
      <c r="W41" s="37">
        <v>1</v>
      </c>
      <c r="X41" s="37">
        <v>1</v>
      </c>
      <c r="Y41" s="37">
        <v>1</v>
      </c>
      <c r="Z41" s="37"/>
      <c r="AA41" s="37">
        <v>1</v>
      </c>
      <c r="AB41" s="37">
        <v>1</v>
      </c>
      <c r="AC41" s="38">
        <f t="shared" si="0"/>
        <v>1162800</v>
      </c>
    </row>
    <row r="42" s="2" customFormat="1" ht="13" customHeight="1" spans="1:29">
      <c r="A42" s="35">
        <v>30</v>
      </c>
      <c r="B42" s="36" t="s">
        <v>756</v>
      </c>
      <c r="C42" s="36" t="s">
        <v>35</v>
      </c>
      <c r="D42" s="36">
        <v>1975</v>
      </c>
      <c r="E42" s="37">
        <v>1</v>
      </c>
      <c r="F42" s="37">
        <v>1</v>
      </c>
      <c r="G42" s="37">
        <v>1</v>
      </c>
      <c r="H42" s="37">
        <v>1</v>
      </c>
      <c r="I42" s="37">
        <v>1</v>
      </c>
      <c r="J42" s="37">
        <v>1</v>
      </c>
      <c r="K42" s="37">
        <v>1</v>
      </c>
      <c r="L42" s="37">
        <v>1</v>
      </c>
      <c r="M42" s="37">
        <v>1</v>
      </c>
      <c r="N42" s="37">
        <v>1</v>
      </c>
      <c r="O42" s="37"/>
      <c r="P42" s="37">
        <v>1</v>
      </c>
      <c r="Q42" s="37">
        <v>1</v>
      </c>
      <c r="R42" s="37">
        <v>1</v>
      </c>
      <c r="S42" s="37">
        <v>1</v>
      </c>
      <c r="T42" s="37">
        <v>1</v>
      </c>
      <c r="U42" s="37"/>
      <c r="V42" s="37">
        <v>1</v>
      </c>
      <c r="W42" s="37">
        <v>1</v>
      </c>
      <c r="X42" s="37">
        <v>1</v>
      </c>
      <c r="Y42" s="37">
        <v>1</v>
      </c>
      <c r="Z42" s="37"/>
      <c r="AA42" s="37">
        <v>1</v>
      </c>
      <c r="AB42" s="37">
        <v>1</v>
      </c>
      <c r="AC42" s="38">
        <f t="shared" si="0"/>
        <v>1162800</v>
      </c>
    </row>
    <row r="43" s="2" customFormat="1" ht="13" customHeight="1" spans="1:29">
      <c r="A43" s="35">
        <v>31</v>
      </c>
      <c r="B43" s="36" t="s">
        <v>776</v>
      </c>
      <c r="C43" s="36" t="s">
        <v>35</v>
      </c>
      <c r="D43" s="36">
        <v>1986</v>
      </c>
      <c r="E43" s="37">
        <v>1</v>
      </c>
      <c r="F43" s="37"/>
      <c r="G43" s="37">
        <v>1</v>
      </c>
      <c r="H43" s="37">
        <v>1</v>
      </c>
      <c r="I43" s="37">
        <v>1</v>
      </c>
      <c r="J43" s="37">
        <v>1</v>
      </c>
      <c r="K43" s="37">
        <v>1</v>
      </c>
      <c r="L43" s="37">
        <v>1</v>
      </c>
      <c r="M43" s="37">
        <v>1</v>
      </c>
      <c r="N43" s="37">
        <v>1</v>
      </c>
      <c r="O43" s="37"/>
      <c r="P43" s="37">
        <v>1</v>
      </c>
      <c r="Q43" s="37">
        <v>1</v>
      </c>
      <c r="R43" s="37">
        <v>1</v>
      </c>
      <c r="S43" s="37">
        <v>1</v>
      </c>
      <c r="T43" s="37">
        <v>1</v>
      </c>
      <c r="U43" s="37"/>
      <c r="V43" s="37">
        <v>1</v>
      </c>
      <c r="W43" s="37">
        <v>1</v>
      </c>
      <c r="X43" s="37">
        <v>1</v>
      </c>
      <c r="Y43" s="37"/>
      <c r="Z43" s="37"/>
      <c r="AA43" s="37">
        <v>1</v>
      </c>
      <c r="AB43" s="37">
        <v>1</v>
      </c>
      <c r="AC43" s="38">
        <f t="shared" si="0"/>
        <v>927400</v>
      </c>
    </row>
    <row r="44" s="2" customFormat="1" ht="13" customHeight="1" spans="1:29">
      <c r="A44" s="35">
        <v>32</v>
      </c>
      <c r="B44" s="36" t="s">
        <v>793</v>
      </c>
      <c r="C44" s="36" t="s">
        <v>35</v>
      </c>
      <c r="D44" s="36">
        <v>1980</v>
      </c>
      <c r="E44" s="37">
        <v>1</v>
      </c>
      <c r="F44" s="37">
        <v>1</v>
      </c>
      <c r="G44" s="37">
        <v>1</v>
      </c>
      <c r="H44" s="37">
        <v>1</v>
      </c>
      <c r="I44" s="37">
        <v>1</v>
      </c>
      <c r="J44" s="37">
        <v>1</v>
      </c>
      <c r="K44" s="37">
        <v>1</v>
      </c>
      <c r="L44" s="37">
        <v>1</v>
      </c>
      <c r="M44" s="37">
        <v>1</v>
      </c>
      <c r="N44" s="37">
        <v>1</v>
      </c>
      <c r="O44" s="37"/>
      <c r="P44" s="37">
        <v>1</v>
      </c>
      <c r="Q44" s="37">
        <v>1</v>
      </c>
      <c r="R44" s="37">
        <v>1</v>
      </c>
      <c r="S44" s="37">
        <v>1</v>
      </c>
      <c r="T44" s="37">
        <v>1</v>
      </c>
      <c r="U44" s="37"/>
      <c r="V44" s="37">
        <v>1</v>
      </c>
      <c r="W44" s="37">
        <v>1</v>
      </c>
      <c r="X44" s="37">
        <v>1</v>
      </c>
      <c r="Y44" s="37">
        <v>1</v>
      </c>
      <c r="Z44" s="37"/>
      <c r="AA44" s="37">
        <v>1</v>
      </c>
      <c r="AB44" s="37">
        <v>1</v>
      </c>
      <c r="AC44" s="38">
        <f t="shared" si="0"/>
        <v>1162800</v>
      </c>
    </row>
    <row r="45" s="2" customFormat="1" ht="13" customHeight="1" spans="1:29">
      <c r="A45" s="35">
        <v>33</v>
      </c>
      <c r="B45" s="36" t="s">
        <v>809</v>
      </c>
      <c r="C45" s="36" t="s">
        <v>35</v>
      </c>
      <c r="D45" s="36">
        <v>1977</v>
      </c>
      <c r="E45" s="37">
        <v>1</v>
      </c>
      <c r="F45" s="37">
        <v>1</v>
      </c>
      <c r="G45" s="37">
        <v>1</v>
      </c>
      <c r="H45" s="37">
        <v>1</v>
      </c>
      <c r="I45" s="37">
        <v>1</v>
      </c>
      <c r="J45" s="37">
        <v>1</v>
      </c>
      <c r="K45" s="37">
        <v>1</v>
      </c>
      <c r="L45" s="37">
        <v>1</v>
      </c>
      <c r="M45" s="37">
        <v>1</v>
      </c>
      <c r="N45" s="37">
        <v>1</v>
      </c>
      <c r="O45" s="37"/>
      <c r="P45" s="37">
        <v>1</v>
      </c>
      <c r="Q45" s="37">
        <v>1</v>
      </c>
      <c r="R45" s="37">
        <v>1</v>
      </c>
      <c r="S45" s="37">
        <v>1</v>
      </c>
      <c r="T45" s="37">
        <v>1</v>
      </c>
      <c r="U45" s="37"/>
      <c r="V45" s="37">
        <v>1</v>
      </c>
      <c r="W45" s="37">
        <v>1</v>
      </c>
      <c r="X45" s="37">
        <v>1</v>
      </c>
      <c r="Y45" s="37">
        <v>1</v>
      </c>
      <c r="Z45" s="37"/>
      <c r="AA45" s="37">
        <v>1</v>
      </c>
      <c r="AB45" s="37">
        <v>1</v>
      </c>
      <c r="AC45" s="38">
        <f t="shared" si="0"/>
        <v>1162800</v>
      </c>
    </row>
    <row r="46" s="2" customFormat="1" ht="13" customHeight="1" spans="1:29">
      <c r="A46" s="35">
        <v>34</v>
      </c>
      <c r="B46" s="36" t="s">
        <v>825</v>
      </c>
      <c r="C46" s="36" t="s">
        <v>35</v>
      </c>
      <c r="D46" s="36">
        <v>1983</v>
      </c>
      <c r="E46" s="37">
        <v>1</v>
      </c>
      <c r="F46" s="37"/>
      <c r="G46" s="37">
        <v>1</v>
      </c>
      <c r="H46" s="37">
        <v>1</v>
      </c>
      <c r="I46" s="37">
        <v>1</v>
      </c>
      <c r="J46" s="37">
        <v>1</v>
      </c>
      <c r="K46" s="37">
        <v>1</v>
      </c>
      <c r="L46" s="37">
        <v>1</v>
      </c>
      <c r="M46" s="37">
        <v>1</v>
      </c>
      <c r="N46" s="37">
        <v>1</v>
      </c>
      <c r="O46" s="37"/>
      <c r="P46" s="37">
        <v>1</v>
      </c>
      <c r="Q46" s="37">
        <v>1</v>
      </c>
      <c r="R46" s="37">
        <v>1</v>
      </c>
      <c r="S46" s="37">
        <v>1</v>
      </c>
      <c r="T46" s="37">
        <v>1</v>
      </c>
      <c r="U46" s="37"/>
      <c r="V46" s="37">
        <v>1</v>
      </c>
      <c r="W46" s="37">
        <v>1</v>
      </c>
      <c r="X46" s="37">
        <v>1</v>
      </c>
      <c r="Y46" s="37"/>
      <c r="Z46" s="37"/>
      <c r="AA46" s="37">
        <v>1</v>
      </c>
      <c r="AB46" s="37">
        <v>1</v>
      </c>
      <c r="AC46" s="38">
        <f t="shared" ref="AC46:AC77" si="1">SUMPRODUCT(E46:AB46,$E$12:$AB$12)</f>
        <v>927400</v>
      </c>
    </row>
    <row r="47" s="2" customFormat="1" ht="13" customHeight="1" spans="1:29">
      <c r="A47" s="35">
        <v>35</v>
      </c>
      <c r="B47" s="36" t="s">
        <v>838</v>
      </c>
      <c r="C47" s="36" t="s">
        <v>34</v>
      </c>
      <c r="D47" s="36">
        <v>1973</v>
      </c>
      <c r="E47" s="37">
        <v>1</v>
      </c>
      <c r="F47" s="37"/>
      <c r="G47" s="37">
        <v>1</v>
      </c>
      <c r="H47" s="37">
        <v>1</v>
      </c>
      <c r="I47" s="37"/>
      <c r="J47" s="37">
        <v>1</v>
      </c>
      <c r="K47" s="37">
        <v>1</v>
      </c>
      <c r="L47" s="37">
        <v>1</v>
      </c>
      <c r="M47" s="37">
        <v>1</v>
      </c>
      <c r="N47" s="37">
        <v>1</v>
      </c>
      <c r="O47" s="37">
        <v>1</v>
      </c>
      <c r="P47" s="37">
        <v>1</v>
      </c>
      <c r="Q47" s="37">
        <v>1</v>
      </c>
      <c r="R47" s="37">
        <v>1</v>
      </c>
      <c r="S47" s="37">
        <v>1</v>
      </c>
      <c r="T47" s="37">
        <v>1</v>
      </c>
      <c r="U47" s="37">
        <v>1</v>
      </c>
      <c r="V47" s="37">
        <v>1</v>
      </c>
      <c r="W47" s="37">
        <v>1</v>
      </c>
      <c r="X47" s="37">
        <v>1</v>
      </c>
      <c r="Y47" s="37"/>
      <c r="Z47" s="37">
        <v>1</v>
      </c>
      <c r="AA47" s="37">
        <v>1</v>
      </c>
      <c r="AB47" s="37">
        <v>1</v>
      </c>
      <c r="AC47" s="38">
        <f t="shared" si="1"/>
        <v>1006500</v>
      </c>
    </row>
    <row r="48" s="2" customFormat="1" ht="13" customHeight="1" spans="1:29">
      <c r="A48" s="35">
        <v>36</v>
      </c>
      <c r="B48" s="36" t="s">
        <v>853</v>
      </c>
      <c r="C48" s="36" t="s">
        <v>34</v>
      </c>
      <c r="D48" s="36">
        <v>1992</v>
      </c>
      <c r="E48" s="37">
        <v>1</v>
      </c>
      <c r="F48" s="37"/>
      <c r="G48" s="37">
        <v>1</v>
      </c>
      <c r="H48" s="37">
        <v>1</v>
      </c>
      <c r="I48" s="37"/>
      <c r="J48" s="37">
        <v>1</v>
      </c>
      <c r="K48" s="37">
        <v>1</v>
      </c>
      <c r="L48" s="37">
        <v>1</v>
      </c>
      <c r="M48" s="37">
        <v>1</v>
      </c>
      <c r="N48" s="37">
        <v>1</v>
      </c>
      <c r="O48" s="37">
        <v>1</v>
      </c>
      <c r="P48" s="37">
        <v>1</v>
      </c>
      <c r="Q48" s="37">
        <v>1</v>
      </c>
      <c r="R48" s="37">
        <v>1</v>
      </c>
      <c r="S48" s="37">
        <v>1</v>
      </c>
      <c r="T48" s="37">
        <v>1</v>
      </c>
      <c r="U48" s="37">
        <v>1</v>
      </c>
      <c r="V48" s="37">
        <v>1</v>
      </c>
      <c r="W48" s="37">
        <v>1</v>
      </c>
      <c r="X48" s="37">
        <v>1</v>
      </c>
      <c r="Y48" s="37"/>
      <c r="Z48" s="37">
        <v>1</v>
      </c>
      <c r="AA48" s="37">
        <v>1</v>
      </c>
      <c r="AB48" s="37">
        <v>1</v>
      </c>
      <c r="AC48" s="38">
        <f t="shared" si="1"/>
        <v>1006500</v>
      </c>
    </row>
    <row r="49" s="2" customFormat="1" ht="13" customHeight="1" spans="1:29">
      <c r="A49" s="35">
        <v>37</v>
      </c>
      <c r="B49" s="36" t="s">
        <v>876</v>
      </c>
      <c r="C49" s="36" t="s">
        <v>35</v>
      </c>
      <c r="D49" s="36">
        <v>1979</v>
      </c>
      <c r="E49" s="37">
        <v>1</v>
      </c>
      <c r="F49" s="37"/>
      <c r="G49" s="37">
        <v>1</v>
      </c>
      <c r="H49" s="37">
        <v>1</v>
      </c>
      <c r="I49" s="37">
        <v>1</v>
      </c>
      <c r="J49" s="37">
        <v>1</v>
      </c>
      <c r="K49" s="37">
        <v>1</v>
      </c>
      <c r="L49" s="37">
        <v>1</v>
      </c>
      <c r="M49" s="37">
        <v>1</v>
      </c>
      <c r="N49" s="37">
        <v>1</v>
      </c>
      <c r="O49" s="37"/>
      <c r="P49" s="37">
        <v>1</v>
      </c>
      <c r="Q49" s="37">
        <v>1</v>
      </c>
      <c r="R49" s="37">
        <v>1</v>
      </c>
      <c r="S49" s="37">
        <v>1</v>
      </c>
      <c r="T49" s="37">
        <v>1</v>
      </c>
      <c r="U49" s="37"/>
      <c r="V49" s="37">
        <v>1</v>
      </c>
      <c r="W49" s="37">
        <v>1</v>
      </c>
      <c r="X49" s="37">
        <v>1</v>
      </c>
      <c r="Y49" s="37"/>
      <c r="Z49" s="37"/>
      <c r="AA49" s="37">
        <v>1</v>
      </c>
      <c r="AB49" s="37">
        <v>1</v>
      </c>
      <c r="AC49" s="38">
        <f t="shared" si="1"/>
        <v>927400</v>
      </c>
    </row>
    <row r="50" s="2" customFormat="1" ht="13" customHeight="1" spans="1:29">
      <c r="A50" s="35">
        <v>38</v>
      </c>
      <c r="B50" s="36" t="s">
        <v>890</v>
      </c>
      <c r="C50" s="36" t="s">
        <v>34</v>
      </c>
      <c r="D50" s="36">
        <v>1977</v>
      </c>
      <c r="E50" s="37">
        <v>1</v>
      </c>
      <c r="F50" s="37"/>
      <c r="G50" s="37">
        <v>1</v>
      </c>
      <c r="H50" s="37">
        <v>1</v>
      </c>
      <c r="I50" s="37"/>
      <c r="J50" s="37">
        <v>1</v>
      </c>
      <c r="K50" s="37">
        <v>1</v>
      </c>
      <c r="L50" s="37">
        <v>1</v>
      </c>
      <c r="M50" s="37">
        <v>1</v>
      </c>
      <c r="N50" s="37">
        <v>1</v>
      </c>
      <c r="O50" s="37">
        <v>1</v>
      </c>
      <c r="P50" s="37">
        <v>1</v>
      </c>
      <c r="Q50" s="37">
        <v>1</v>
      </c>
      <c r="R50" s="37">
        <v>1</v>
      </c>
      <c r="S50" s="37">
        <v>1</v>
      </c>
      <c r="T50" s="37">
        <v>1</v>
      </c>
      <c r="U50" s="37">
        <v>1</v>
      </c>
      <c r="V50" s="37">
        <v>1</v>
      </c>
      <c r="W50" s="37">
        <v>1</v>
      </c>
      <c r="X50" s="37">
        <v>1</v>
      </c>
      <c r="Y50" s="37"/>
      <c r="Z50" s="37">
        <v>1</v>
      </c>
      <c r="AA50" s="37">
        <v>1</v>
      </c>
      <c r="AB50" s="37">
        <v>1</v>
      </c>
      <c r="AC50" s="38">
        <f t="shared" si="1"/>
        <v>1006500</v>
      </c>
    </row>
    <row r="51" s="2" customFormat="1" ht="13" customHeight="1" spans="1:29">
      <c r="A51" s="35">
        <v>39</v>
      </c>
      <c r="B51" s="36" t="s">
        <v>903</v>
      </c>
      <c r="C51" s="36" t="s">
        <v>35</v>
      </c>
      <c r="D51" s="36">
        <v>1992</v>
      </c>
      <c r="E51" s="37">
        <v>1</v>
      </c>
      <c r="F51" s="37"/>
      <c r="G51" s="37">
        <v>1</v>
      </c>
      <c r="H51" s="37">
        <v>1</v>
      </c>
      <c r="I51" s="37">
        <v>1</v>
      </c>
      <c r="J51" s="37">
        <v>1</v>
      </c>
      <c r="K51" s="37">
        <v>1</v>
      </c>
      <c r="L51" s="37">
        <v>1</v>
      </c>
      <c r="M51" s="37">
        <v>1</v>
      </c>
      <c r="N51" s="37">
        <v>1</v>
      </c>
      <c r="O51" s="37"/>
      <c r="P51" s="37">
        <v>1</v>
      </c>
      <c r="Q51" s="37">
        <v>1</v>
      </c>
      <c r="R51" s="37">
        <v>1</v>
      </c>
      <c r="S51" s="37">
        <v>1</v>
      </c>
      <c r="T51" s="37">
        <v>1</v>
      </c>
      <c r="U51" s="37"/>
      <c r="V51" s="37">
        <v>1</v>
      </c>
      <c r="W51" s="37">
        <v>1</v>
      </c>
      <c r="X51" s="37">
        <v>1</v>
      </c>
      <c r="Y51" s="37"/>
      <c r="Z51" s="37"/>
      <c r="AA51" s="37">
        <v>1</v>
      </c>
      <c r="AB51" s="37">
        <v>1</v>
      </c>
      <c r="AC51" s="38">
        <f t="shared" si="1"/>
        <v>927400</v>
      </c>
    </row>
    <row r="52" s="2" customFormat="1" ht="13" customHeight="1" spans="1:29">
      <c r="A52" s="35">
        <v>40</v>
      </c>
      <c r="B52" s="36" t="s">
        <v>921</v>
      </c>
      <c r="C52" s="36" t="s">
        <v>35</v>
      </c>
      <c r="D52" s="36">
        <v>1984</v>
      </c>
      <c r="E52" s="37">
        <v>1</v>
      </c>
      <c r="F52" s="37"/>
      <c r="G52" s="37">
        <v>1</v>
      </c>
      <c r="H52" s="37">
        <v>1</v>
      </c>
      <c r="I52" s="37">
        <v>1</v>
      </c>
      <c r="J52" s="37">
        <v>1</v>
      </c>
      <c r="K52" s="37">
        <v>1</v>
      </c>
      <c r="L52" s="37">
        <v>1</v>
      </c>
      <c r="M52" s="37">
        <v>1</v>
      </c>
      <c r="N52" s="37">
        <v>1</v>
      </c>
      <c r="O52" s="37"/>
      <c r="P52" s="37">
        <v>1</v>
      </c>
      <c r="Q52" s="37">
        <v>1</v>
      </c>
      <c r="R52" s="37">
        <v>1</v>
      </c>
      <c r="S52" s="37">
        <v>1</v>
      </c>
      <c r="T52" s="37">
        <v>1</v>
      </c>
      <c r="U52" s="37"/>
      <c r="V52" s="37">
        <v>1</v>
      </c>
      <c r="W52" s="37">
        <v>1</v>
      </c>
      <c r="X52" s="37">
        <v>1</v>
      </c>
      <c r="Y52" s="37"/>
      <c r="Z52" s="37"/>
      <c r="AA52" s="37">
        <v>1</v>
      </c>
      <c r="AB52" s="37">
        <v>1</v>
      </c>
      <c r="AC52" s="38">
        <f t="shared" si="1"/>
        <v>927400</v>
      </c>
    </row>
    <row r="53" s="2" customFormat="1" ht="13" customHeight="1" spans="1:29">
      <c r="A53" s="35">
        <v>41</v>
      </c>
      <c r="B53" s="36" t="s">
        <v>937</v>
      </c>
      <c r="C53" s="36" t="s">
        <v>34</v>
      </c>
      <c r="D53" s="36">
        <v>1968</v>
      </c>
      <c r="E53" s="37">
        <v>1</v>
      </c>
      <c r="F53" s="37"/>
      <c r="G53" s="37">
        <v>1</v>
      </c>
      <c r="H53" s="37">
        <v>1</v>
      </c>
      <c r="I53" s="37"/>
      <c r="J53" s="37">
        <v>1</v>
      </c>
      <c r="K53" s="37">
        <v>1</v>
      </c>
      <c r="L53" s="37">
        <v>1</v>
      </c>
      <c r="M53" s="37">
        <v>1</v>
      </c>
      <c r="N53" s="37">
        <v>1</v>
      </c>
      <c r="O53" s="37">
        <v>1</v>
      </c>
      <c r="P53" s="37">
        <v>1</v>
      </c>
      <c r="Q53" s="37">
        <v>1</v>
      </c>
      <c r="R53" s="37">
        <v>1</v>
      </c>
      <c r="S53" s="37">
        <v>1</v>
      </c>
      <c r="T53" s="37">
        <v>1</v>
      </c>
      <c r="U53" s="37">
        <v>1</v>
      </c>
      <c r="V53" s="37">
        <v>1</v>
      </c>
      <c r="W53" s="37">
        <v>1</v>
      </c>
      <c r="X53" s="37">
        <v>1</v>
      </c>
      <c r="Y53" s="37"/>
      <c r="Z53" s="37">
        <v>1</v>
      </c>
      <c r="AA53" s="37">
        <v>1</v>
      </c>
      <c r="AB53" s="37">
        <v>1</v>
      </c>
      <c r="AC53" s="38">
        <f t="shared" si="1"/>
        <v>1006500</v>
      </c>
    </row>
    <row r="54" s="2" customFormat="1" ht="13" customHeight="1" spans="1:29">
      <c r="A54" s="35">
        <v>42</v>
      </c>
      <c r="B54" s="36" t="s">
        <v>955</v>
      </c>
      <c r="C54" s="36" t="s">
        <v>34</v>
      </c>
      <c r="D54" s="36">
        <v>1973</v>
      </c>
      <c r="E54" s="37">
        <v>1</v>
      </c>
      <c r="F54" s="37"/>
      <c r="G54" s="37">
        <v>1</v>
      </c>
      <c r="H54" s="37">
        <v>1</v>
      </c>
      <c r="I54" s="37"/>
      <c r="J54" s="37">
        <v>1</v>
      </c>
      <c r="K54" s="37">
        <v>1</v>
      </c>
      <c r="L54" s="37">
        <v>1</v>
      </c>
      <c r="M54" s="37">
        <v>1</v>
      </c>
      <c r="N54" s="37">
        <v>1</v>
      </c>
      <c r="O54" s="37">
        <v>1</v>
      </c>
      <c r="P54" s="37">
        <v>1</v>
      </c>
      <c r="Q54" s="37">
        <v>1</v>
      </c>
      <c r="R54" s="37">
        <v>1</v>
      </c>
      <c r="S54" s="37">
        <v>1</v>
      </c>
      <c r="T54" s="37">
        <v>1</v>
      </c>
      <c r="U54" s="37">
        <v>1</v>
      </c>
      <c r="V54" s="37">
        <v>1</v>
      </c>
      <c r="W54" s="37">
        <v>1</v>
      </c>
      <c r="X54" s="37">
        <v>1</v>
      </c>
      <c r="Y54" s="37"/>
      <c r="Z54" s="37">
        <v>1</v>
      </c>
      <c r="AA54" s="37">
        <v>1</v>
      </c>
      <c r="AB54" s="37">
        <v>1</v>
      </c>
      <c r="AC54" s="38">
        <f t="shared" si="1"/>
        <v>1006500</v>
      </c>
    </row>
    <row r="55" s="2" customFormat="1" ht="13" customHeight="1" spans="1:29">
      <c r="A55" s="35">
        <v>43</v>
      </c>
      <c r="B55" s="36" t="s">
        <v>972</v>
      </c>
      <c r="C55" s="36" t="s">
        <v>35</v>
      </c>
      <c r="D55" s="36">
        <v>1988</v>
      </c>
      <c r="E55" s="37">
        <v>1</v>
      </c>
      <c r="F55" s="37"/>
      <c r="G55" s="37">
        <v>1</v>
      </c>
      <c r="H55" s="37">
        <v>1</v>
      </c>
      <c r="I55" s="37">
        <v>1</v>
      </c>
      <c r="J55" s="37">
        <v>1</v>
      </c>
      <c r="K55" s="37">
        <v>1</v>
      </c>
      <c r="L55" s="37">
        <v>1</v>
      </c>
      <c r="M55" s="37">
        <v>1</v>
      </c>
      <c r="N55" s="37">
        <v>1</v>
      </c>
      <c r="O55" s="37"/>
      <c r="P55" s="37">
        <v>1</v>
      </c>
      <c r="Q55" s="37">
        <v>1</v>
      </c>
      <c r="R55" s="37">
        <v>1</v>
      </c>
      <c r="S55" s="37">
        <v>1</v>
      </c>
      <c r="T55" s="37">
        <v>1</v>
      </c>
      <c r="U55" s="37"/>
      <c r="V55" s="37">
        <v>1</v>
      </c>
      <c r="W55" s="37">
        <v>1</v>
      </c>
      <c r="X55" s="37">
        <v>1</v>
      </c>
      <c r="Y55" s="37"/>
      <c r="Z55" s="37"/>
      <c r="AA55" s="37">
        <v>1</v>
      </c>
      <c r="AB55" s="37">
        <v>1</v>
      </c>
      <c r="AC55" s="38">
        <f t="shared" si="1"/>
        <v>927400</v>
      </c>
    </row>
    <row r="56" s="2" customFormat="1" ht="13" customHeight="1" spans="1:29">
      <c r="A56" s="35">
        <v>44</v>
      </c>
      <c r="B56" s="36" t="s">
        <v>986</v>
      </c>
      <c r="C56" s="36" t="s">
        <v>35</v>
      </c>
      <c r="D56" s="36">
        <v>1984</v>
      </c>
      <c r="E56" s="37">
        <v>1</v>
      </c>
      <c r="F56" s="37"/>
      <c r="G56" s="37">
        <v>1</v>
      </c>
      <c r="H56" s="37">
        <v>1</v>
      </c>
      <c r="I56" s="37">
        <v>1</v>
      </c>
      <c r="J56" s="37">
        <v>1</v>
      </c>
      <c r="K56" s="37">
        <v>1</v>
      </c>
      <c r="L56" s="37">
        <v>1</v>
      </c>
      <c r="M56" s="37">
        <v>1</v>
      </c>
      <c r="N56" s="37">
        <v>1</v>
      </c>
      <c r="O56" s="37"/>
      <c r="P56" s="37">
        <v>1</v>
      </c>
      <c r="Q56" s="37">
        <v>1</v>
      </c>
      <c r="R56" s="37">
        <v>1</v>
      </c>
      <c r="S56" s="37">
        <v>1</v>
      </c>
      <c r="T56" s="37">
        <v>1</v>
      </c>
      <c r="U56" s="37"/>
      <c r="V56" s="37">
        <v>1</v>
      </c>
      <c r="W56" s="37">
        <v>1</v>
      </c>
      <c r="X56" s="37">
        <v>1</v>
      </c>
      <c r="Y56" s="37"/>
      <c r="Z56" s="37"/>
      <c r="AA56" s="37">
        <v>1</v>
      </c>
      <c r="AB56" s="37">
        <v>1</v>
      </c>
      <c r="AC56" s="38">
        <f t="shared" si="1"/>
        <v>927400</v>
      </c>
    </row>
    <row r="57" s="2" customFormat="1" ht="13" customHeight="1" spans="1:29">
      <c r="A57" s="35">
        <v>45</v>
      </c>
      <c r="B57" s="36" t="s">
        <v>1003</v>
      </c>
      <c r="C57" s="36" t="s">
        <v>34</v>
      </c>
      <c r="D57" s="36">
        <v>1972</v>
      </c>
      <c r="E57" s="37">
        <v>1</v>
      </c>
      <c r="F57" s="37"/>
      <c r="G57" s="37">
        <v>1</v>
      </c>
      <c r="H57" s="37">
        <v>1</v>
      </c>
      <c r="I57" s="37"/>
      <c r="J57" s="37">
        <v>1</v>
      </c>
      <c r="K57" s="37">
        <v>1</v>
      </c>
      <c r="L57" s="37">
        <v>1</v>
      </c>
      <c r="M57" s="37">
        <v>1</v>
      </c>
      <c r="N57" s="37">
        <v>1</v>
      </c>
      <c r="O57" s="37">
        <v>1</v>
      </c>
      <c r="P57" s="37">
        <v>1</v>
      </c>
      <c r="Q57" s="37">
        <v>1</v>
      </c>
      <c r="R57" s="37">
        <v>1</v>
      </c>
      <c r="S57" s="37">
        <v>1</v>
      </c>
      <c r="T57" s="37">
        <v>1</v>
      </c>
      <c r="U57" s="37">
        <v>1</v>
      </c>
      <c r="V57" s="37">
        <v>1</v>
      </c>
      <c r="W57" s="37">
        <v>1</v>
      </c>
      <c r="X57" s="37">
        <v>1</v>
      </c>
      <c r="Y57" s="37"/>
      <c r="Z57" s="37">
        <v>1</v>
      </c>
      <c r="AA57" s="37">
        <v>1</v>
      </c>
      <c r="AB57" s="37">
        <v>1</v>
      </c>
      <c r="AC57" s="38">
        <f t="shared" si="1"/>
        <v>1006500</v>
      </c>
    </row>
    <row r="58" s="2" customFormat="1" ht="13" customHeight="1" spans="1:29">
      <c r="A58" s="35">
        <v>46</v>
      </c>
      <c r="B58" s="36" t="s">
        <v>1025</v>
      </c>
      <c r="C58" s="36" t="s">
        <v>34</v>
      </c>
      <c r="D58" s="36">
        <v>1982</v>
      </c>
      <c r="E58" s="37">
        <v>1</v>
      </c>
      <c r="F58" s="37"/>
      <c r="G58" s="37">
        <v>1</v>
      </c>
      <c r="H58" s="37">
        <v>1</v>
      </c>
      <c r="I58" s="37"/>
      <c r="J58" s="37">
        <v>1</v>
      </c>
      <c r="K58" s="37">
        <v>1</v>
      </c>
      <c r="L58" s="37">
        <v>1</v>
      </c>
      <c r="M58" s="37">
        <v>1</v>
      </c>
      <c r="N58" s="37">
        <v>1</v>
      </c>
      <c r="O58" s="37">
        <v>1</v>
      </c>
      <c r="P58" s="37">
        <v>1</v>
      </c>
      <c r="Q58" s="37">
        <v>1</v>
      </c>
      <c r="R58" s="37">
        <v>1</v>
      </c>
      <c r="S58" s="37">
        <v>1</v>
      </c>
      <c r="T58" s="37">
        <v>1</v>
      </c>
      <c r="U58" s="37">
        <v>1</v>
      </c>
      <c r="V58" s="37">
        <v>1</v>
      </c>
      <c r="W58" s="37">
        <v>1</v>
      </c>
      <c r="X58" s="37">
        <v>1</v>
      </c>
      <c r="Y58" s="37"/>
      <c r="Z58" s="37">
        <v>1</v>
      </c>
      <c r="AA58" s="37">
        <v>1</v>
      </c>
      <c r="AB58" s="37">
        <v>1</v>
      </c>
      <c r="AC58" s="38">
        <f t="shared" si="1"/>
        <v>1006500</v>
      </c>
    </row>
    <row r="59" s="2" customFormat="1" ht="13" customHeight="1" spans="1:29">
      <c r="A59" s="35">
        <v>47</v>
      </c>
      <c r="B59" s="36" t="s">
        <v>1041</v>
      </c>
      <c r="C59" s="36" t="s">
        <v>34</v>
      </c>
      <c r="D59" s="36">
        <v>1993</v>
      </c>
      <c r="E59" s="37">
        <v>1</v>
      </c>
      <c r="F59" s="37"/>
      <c r="G59" s="37">
        <v>1</v>
      </c>
      <c r="H59" s="37">
        <v>1</v>
      </c>
      <c r="I59" s="37"/>
      <c r="J59" s="37">
        <v>1</v>
      </c>
      <c r="K59" s="37">
        <v>1</v>
      </c>
      <c r="L59" s="37">
        <v>1</v>
      </c>
      <c r="M59" s="37">
        <v>1</v>
      </c>
      <c r="N59" s="37">
        <v>1</v>
      </c>
      <c r="O59" s="37">
        <v>1</v>
      </c>
      <c r="P59" s="37">
        <v>1</v>
      </c>
      <c r="Q59" s="37">
        <v>1</v>
      </c>
      <c r="R59" s="37">
        <v>1</v>
      </c>
      <c r="S59" s="37">
        <v>1</v>
      </c>
      <c r="T59" s="37">
        <v>1</v>
      </c>
      <c r="U59" s="37">
        <v>1</v>
      </c>
      <c r="V59" s="37">
        <v>1</v>
      </c>
      <c r="W59" s="37">
        <v>1</v>
      </c>
      <c r="X59" s="37">
        <v>1</v>
      </c>
      <c r="Y59" s="37"/>
      <c r="Z59" s="37">
        <v>1</v>
      </c>
      <c r="AA59" s="37">
        <v>1</v>
      </c>
      <c r="AB59" s="37">
        <v>1</v>
      </c>
      <c r="AC59" s="38">
        <f t="shared" si="1"/>
        <v>1006500</v>
      </c>
    </row>
    <row r="60" s="2" customFormat="1" ht="13" customHeight="1" spans="1:29">
      <c r="A60" s="35">
        <v>48</v>
      </c>
      <c r="B60" s="36" t="s">
        <v>1056</v>
      </c>
      <c r="C60" s="36" t="s">
        <v>34</v>
      </c>
      <c r="D60" s="36">
        <v>1999</v>
      </c>
      <c r="E60" s="37">
        <v>1</v>
      </c>
      <c r="F60" s="37"/>
      <c r="G60" s="37">
        <v>1</v>
      </c>
      <c r="H60" s="37">
        <v>1</v>
      </c>
      <c r="I60" s="37"/>
      <c r="J60" s="37">
        <v>1</v>
      </c>
      <c r="K60" s="37">
        <v>1</v>
      </c>
      <c r="L60" s="37">
        <v>1</v>
      </c>
      <c r="M60" s="37">
        <v>1</v>
      </c>
      <c r="N60" s="37">
        <v>1</v>
      </c>
      <c r="O60" s="37">
        <v>1</v>
      </c>
      <c r="P60" s="37">
        <v>1</v>
      </c>
      <c r="Q60" s="37">
        <v>1</v>
      </c>
      <c r="R60" s="37">
        <v>1</v>
      </c>
      <c r="S60" s="37">
        <v>1</v>
      </c>
      <c r="T60" s="37">
        <v>1</v>
      </c>
      <c r="U60" s="37">
        <v>1</v>
      </c>
      <c r="V60" s="37">
        <v>1</v>
      </c>
      <c r="W60" s="37">
        <v>1</v>
      </c>
      <c r="X60" s="37">
        <v>1</v>
      </c>
      <c r="Y60" s="37"/>
      <c r="Z60" s="37">
        <v>1</v>
      </c>
      <c r="AA60" s="37">
        <v>1</v>
      </c>
      <c r="AB60" s="37">
        <v>1</v>
      </c>
      <c r="AC60" s="38">
        <f t="shared" si="1"/>
        <v>1006500</v>
      </c>
    </row>
    <row r="61" s="2" customFormat="1" ht="13" customHeight="1" spans="1:29">
      <c r="A61" s="35">
        <v>49</v>
      </c>
      <c r="B61" s="36" t="s">
        <v>1070</v>
      </c>
      <c r="C61" s="36" t="s">
        <v>34</v>
      </c>
      <c r="D61" s="36">
        <v>1984</v>
      </c>
      <c r="E61" s="37">
        <v>1</v>
      </c>
      <c r="F61" s="37"/>
      <c r="G61" s="37">
        <v>1</v>
      </c>
      <c r="H61" s="37">
        <v>1</v>
      </c>
      <c r="I61" s="37"/>
      <c r="J61" s="37">
        <v>1</v>
      </c>
      <c r="K61" s="37">
        <v>1</v>
      </c>
      <c r="L61" s="37">
        <v>1</v>
      </c>
      <c r="M61" s="37">
        <v>1</v>
      </c>
      <c r="N61" s="37">
        <v>1</v>
      </c>
      <c r="O61" s="37">
        <v>1</v>
      </c>
      <c r="P61" s="37">
        <v>1</v>
      </c>
      <c r="Q61" s="37">
        <v>1</v>
      </c>
      <c r="R61" s="37">
        <v>1</v>
      </c>
      <c r="S61" s="37">
        <v>1</v>
      </c>
      <c r="T61" s="37">
        <v>1</v>
      </c>
      <c r="U61" s="37">
        <v>1</v>
      </c>
      <c r="V61" s="37">
        <v>1</v>
      </c>
      <c r="W61" s="37">
        <v>1</v>
      </c>
      <c r="X61" s="37">
        <v>1</v>
      </c>
      <c r="Y61" s="37"/>
      <c r="Z61" s="37">
        <v>1</v>
      </c>
      <c r="AA61" s="37">
        <v>1</v>
      </c>
      <c r="AB61" s="37">
        <v>1</v>
      </c>
      <c r="AC61" s="38">
        <f t="shared" si="1"/>
        <v>1006500</v>
      </c>
    </row>
    <row r="62" s="2" customFormat="1" ht="13" customHeight="1" spans="1:29">
      <c r="A62" s="35">
        <v>50</v>
      </c>
      <c r="B62" s="36" t="s">
        <v>1086</v>
      </c>
      <c r="C62" s="36" t="s">
        <v>34</v>
      </c>
      <c r="D62" s="36">
        <v>1988</v>
      </c>
      <c r="E62" s="37">
        <v>1</v>
      </c>
      <c r="F62" s="37"/>
      <c r="G62" s="37">
        <v>1</v>
      </c>
      <c r="H62" s="37">
        <v>1</v>
      </c>
      <c r="I62" s="37"/>
      <c r="J62" s="37">
        <v>1</v>
      </c>
      <c r="K62" s="37">
        <v>1</v>
      </c>
      <c r="L62" s="37">
        <v>1</v>
      </c>
      <c r="M62" s="37">
        <v>1</v>
      </c>
      <c r="N62" s="37">
        <v>1</v>
      </c>
      <c r="O62" s="37">
        <v>1</v>
      </c>
      <c r="P62" s="37">
        <v>1</v>
      </c>
      <c r="Q62" s="37">
        <v>1</v>
      </c>
      <c r="R62" s="37">
        <v>1</v>
      </c>
      <c r="S62" s="37">
        <v>1</v>
      </c>
      <c r="T62" s="37">
        <v>1</v>
      </c>
      <c r="U62" s="37">
        <v>1</v>
      </c>
      <c r="V62" s="37">
        <v>1</v>
      </c>
      <c r="W62" s="37">
        <v>1</v>
      </c>
      <c r="X62" s="37">
        <v>1</v>
      </c>
      <c r="Y62" s="37"/>
      <c r="Z62" s="37">
        <v>1</v>
      </c>
      <c r="AA62" s="37">
        <v>1</v>
      </c>
      <c r="AB62" s="37">
        <v>1</v>
      </c>
      <c r="AC62" s="38">
        <f t="shared" si="1"/>
        <v>1006500</v>
      </c>
    </row>
    <row r="63" s="2" customFormat="1" ht="13" customHeight="1" spans="1:29">
      <c r="A63" s="35">
        <v>51</v>
      </c>
      <c r="B63" s="36" t="s">
        <v>1099</v>
      </c>
      <c r="C63" s="36" t="s">
        <v>35</v>
      </c>
      <c r="D63" s="36">
        <v>1996</v>
      </c>
      <c r="E63" s="37">
        <v>1</v>
      </c>
      <c r="F63" s="37"/>
      <c r="G63" s="37">
        <v>1</v>
      </c>
      <c r="H63" s="37">
        <v>1</v>
      </c>
      <c r="I63" s="37">
        <v>1</v>
      </c>
      <c r="J63" s="37">
        <v>1</v>
      </c>
      <c r="K63" s="37">
        <v>1</v>
      </c>
      <c r="L63" s="37">
        <v>1</v>
      </c>
      <c r="M63" s="37">
        <v>1</v>
      </c>
      <c r="N63" s="37">
        <v>1</v>
      </c>
      <c r="O63" s="37"/>
      <c r="P63" s="37">
        <v>1</v>
      </c>
      <c r="Q63" s="37">
        <v>1</v>
      </c>
      <c r="R63" s="37">
        <v>1</v>
      </c>
      <c r="S63" s="37">
        <v>1</v>
      </c>
      <c r="T63" s="37">
        <v>1</v>
      </c>
      <c r="U63" s="37"/>
      <c r="V63" s="37">
        <v>1</v>
      </c>
      <c r="W63" s="37">
        <v>1</v>
      </c>
      <c r="X63" s="37">
        <v>1</v>
      </c>
      <c r="Y63" s="37"/>
      <c r="Z63" s="37"/>
      <c r="AA63" s="37">
        <v>1</v>
      </c>
      <c r="AB63" s="37">
        <v>1</v>
      </c>
      <c r="AC63" s="38">
        <f t="shared" si="1"/>
        <v>927400</v>
      </c>
    </row>
    <row r="64" s="2" customFormat="1" ht="13" customHeight="1" spans="1:29">
      <c r="A64" s="35">
        <v>52</v>
      </c>
      <c r="B64" s="36" t="s">
        <v>1112</v>
      </c>
      <c r="C64" s="36" t="s">
        <v>34</v>
      </c>
      <c r="D64" s="36">
        <v>1985</v>
      </c>
      <c r="E64" s="37">
        <v>1</v>
      </c>
      <c r="F64" s="37"/>
      <c r="G64" s="37">
        <v>1</v>
      </c>
      <c r="H64" s="37">
        <v>1</v>
      </c>
      <c r="I64" s="37"/>
      <c r="J64" s="37">
        <v>1</v>
      </c>
      <c r="K64" s="37">
        <v>1</v>
      </c>
      <c r="L64" s="37">
        <v>1</v>
      </c>
      <c r="M64" s="37">
        <v>1</v>
      </c>
      <c r="N64" s="37">
        <v>1</v>
      </c>
      <c r="O64" s="37">
        <v>1</v>
      </c>
      <c r="P64" s="37">
        <v>1</v>
      </c>
      <c r="Q64" s="37">
        <v>1</v>
      </c>
      <c r="R64" s="37">
        <v>1</v>
      </c>
      <c r="S64" s="37">
        <v>1</v>
      </c>
      <c r="T64" s="37">
        <v>1</v>
      </c>
      <c r="U64" s="37">
        <v>1</v>
      </c>
      <c r="V64" s="37">
        <v>1</v>
      </c>
      <c r="W64" s="37">
        <v>1</v>
      </c>
      <c r="X64" s="37">
        <v>1</v>
      </c>
      <c r="Y64" s="37"/>
      <c r="Z64" s="37">
        <v>1</v>
      </c>
      <c r="AA64" s="37">
        <v>1</v>
      </c>
      <c r="AB64" s="37">
        <v>1</v>
      </c>
      <c r="AC64" s="38">
        <f t="shared" si="1"/>
        <v>1006500</v>
      </c>
    </row>
    <row r="65" s="2" customFormat="1" ht="13" customHeight="1" spans="1:29">
      <c r="A65" s="35">
        <v>53</v>
      </c>
      <c r="B65" s="36" t="s">
        <v>1129</v>
      </c>
      <c r="C65" s="36" t="s">
        <v>35</v>
      </c>
      <c r="D65" s="36">
        <v>1986</v>
      </c>
      <c r="E65" s="37">
        <v>1</v>
      </c>
      <c r="F65" s="37"/>
      <c r="G65" s="37">
        <v>1</v>
      </c>
      <c r="H65" s="37">
        <v>1</v>
      </c>
      <c r="I65" s="37">
        <v>1</v>
      </c>
      <c r="J65" s="37">
        <v>1</v>
      </c>
      <c r="K65" s="37">
        <v>1</v>
      </c>
      <c r="L65" s="37">
        <v>1</v>
      </c>
      <c r="M65" s="37">
        <v>1</v>
      </c>
      <c r="N65" s="37">
        <v>1</v>
      </c>
      <c r="O65" s="37"/>
      <c r="P65" s="37">
        <v>1</v>
      </c>
      <c r="Q65" s="37">
        <v>1</v>
      </c>
      <c r="R65" s="37">
        <v>1</v>
      </c>
      <c r="S65" s="37">
        <v>1</v>
      </c>
      <c r="T65" s="37">
        <v>1</v>
      </c>
      <c r="U65" s="37"/>
      <c r="V65" s="37">
        <v>1</v>
      </c>
      <c r="W65" s="37">
        <v>1</v>
      </c>
      <c r="X65" s="37">
        <v>1</v>
      </c>
      <c r="Y65" s="37"/>
      <c r="Z65" s="37"/>
      <c r="AA65" s="37">
        <v>1</v>
      </c>
      <c r="AB65" s="37">
        <v>1</v>
      </c>
      <c r="AC65" s="38">
        <f t="shared" si="1"/>
        <v>927400</v>
      </c>
    </row>
    <row r="66" s="2" customFormat="1" ht="13" customHeight="1" spans="1:29">
      <c r="A66" s="35">
        <v>54</v>
      </c>
      <c r="B66" s="36" t="s">
        <v>1146</v>
      </c>
      <c r="C66" s="36" t="s">
        <v>34</v>
      </c>
      <c r="D66" s="36">
        <v>1989</v>
      </c>
      <c r="E66" s="37">
        <v>1</v>
      </c>
      <c r="F66" s="37"/>
      <c r="G66" s="37">
        <v>1</v>
      </c>
      <c r="H66" s="37">
        <v>1</v>
      </c>
      <c r="I66" s="37"/>
      <c r="J66" s="37">
        <v>1</v>
      </c>
      <c r="K66" s="37">
        <v>1</v>
      </c>
      <c r="L66" s="37">
        <v>1</v>
      </c>
      <c r="M66" s="37">
        <v>1</v>
      </c>
      <c r="N66" s="37">
        <v>1</v>
      </c>
      <c r="O66" s="37">
        <v>1</v>
      </c>
      <c r="P66" s="37">
        <v>1</v>
      </c>
      <c r="Q66" s="37">
        <v>1</v>
      </c>
      <c r="R66" s="37">
        <v>1</v>
      </c>
      <c r="S66" s="37">
        <v>1</v>
      </c>
      <c r="T66" s="37">
        <v>1</v>
      </c>
      <c r="U66" s="37">
        <v>1</v>
      </c>
      <c r="V66" s="37">
        <v>1</v>
      </c>
      <c r="W66" s="37">
        <v>1</v>
      </c>
      <c r="X66" s="37">
        <v>1</v>
      </c>
      <c r="Y66" s="37"/>
      <c r="Z66" s="37">
        <v>1</v>
      </c>
      <c r="AA66" s="37">
        <v>1</v>
      </c>
      <c r="AB66" s="37">
        <v>1</v>
      </c>
      <c r="AC66" s="38">
        <f t="shared" si="1"/>
        <v>1006500</v>
      </c>
    </row>
    <row r="67" s="2" customFormat="1" ht="13" customHeight="1" spans="1:29">
      <c r="A67" s="35">
        <v>55</v>
      </c>
      <c r="B67" s="36" t="s">
        <v>1162</v>
      </c>
      <c r="C67" s="36" t="s">
        <v>34</v>
      </c>
      <c r="D67" s="36">
        <v>1994</v>
      </c>
      <c r="E67" s="37">
        <v>1</v>
      </c>
      <c r="F67" s="37"/>
      <c r="G67" s="37">
        <v>1</v>
      </c>
      <c r="H67" s="37">
        <v>1</v>
      </c>
      <c r="I67" s="37"/>
      <c r="J67" s="37">
        <v>1</v>
      </c>
      <c r="K67" s="37">
        <v>1</v>
      </c>
      <c r="L67" s="37">
        <v>1</v>
      </c>
      <c r="M67" s="37">
        <v>1</v>
      </c>
      <c r="N67" s="37">
        <v>1</v>
      </c>
      <c r="O67" s="37">
        <v>1</v>
      </c>
      <c r="P67" s="37">
        <v>1</v>
      </c>
      <c r="Q67" s="37">
        <v>1</v>
      </c>
      <c r="R67" s="37">
        <v>1</v>
      </c>
      <c r="S67" s="37">
        <v>1</v>
      </c>
      <c r="T67" s="37">
        <v>1</v>
      </c>
      <c r="U67" s="37">
        <v>1</v>
      </c>
      <c r="V67" s="37">
        <v>1</v>
      </c>
      <c r="W67" s="37">
        <v>1</v>
      </c>
      <c r="X67" s="37">
        <v>1</v>
      </c>
      <c r="Y67" s="37"/>
      <c r="Z67" s="37">
        <v>1</v>
      </c>
      <c r="AA67" s="37">
        <v>1</v>
      </c>
      <c r="AB67" s="37">
        <v>1</v>
      </c>
      <c r="AC67" s="38">
        <f t="shared" si="1"/>
        <v>1006500</v>
      </c>
    </row>
    <row r="68" s="2" customFormat="1" ht="13" customHeight="1" spans="1:29">
      <c r="A68" s="35">
        <v>56</v>
      </c>
      <c r="B68" s="36" t="s">
        <v>1179</v>
      </c>
      <c r="C68" s="36" t="s">
        <v>34</v>
      </c>
      <c r="D68" s="36">
        <v>1990</v>
      </c>
      <c r="E68" s="37">
        <v>1</v>
      </c>
      <c r="F68" s="37"/>
      <c r="G68" s="37">
        <v>1</v>
      </c>
      <c r="H68" s="37">
        <v>1</v>
      </c>
      <c r="I68" s="37"/>
      <c r="J68" s="37">
        <v>1</v>
      </c>
      <c r="K68" s="37">
        <v>1</v>
      </c>
      <c r="L68" s="37">
        <v>1</v>
      </c>
      <c r="M68" s="37">
        <v>1</v>
      </c>
      <c r="N68" s="37">
        <v>1</v>
      </c>
      <c r="O68" s="37">
        <v>1</v>
      </c>
      <c r="P68" s="37">
        <v>1</v>
      </c>
      <c r="Q68" s="37">
        <v>1</v>
      </c>
      <c r="R68" s="37">
        <v>1</v>
      </c>
      <c r="S68" s="37">
        <v>1</v>
      </c>
      <c r="T68" s="37">
        <v>1</v>
      </c>
      <c r="U68" s="37">
        <v>1</v>
      </c>
      <c r="V68" s="37">
        <v>1</v>
      </c>
      <c r="W68" s="37">
        <v>1</v>
      </c>
      <c r="X68" s="37">
        <v>1</v>
      </c>
      <c r="Y68" s="37"/>
      <c r="Z68" s="37">
        <v>1</v>
      </c>
      <c r="AA68" s="37">
        <v>1</v>
      </c>
      <c r="AB68" s="37">
        <v>1</v>
      </c>
      <c r="AC68" s="38">
        <f t="shared" si="1"/>
        <v>1006500</v>
      </c>
    </row>
    <row r="69" s="2" customFormat="1" ht="13" customHeight="1" spans="1:29">
      <c r="A69" s="35">
        <v>57</v>
      </c>
      <c r="B69" s="36" t="s">
        <v>1199</v>
      </c>
      <c r="C69" s="36" t="s">
        <v>34</v>
      </c>
      <c r="D69" s="36">
        <v>1975</v>
      </c>
      <c r="E69" s="37">
        <v>1</v>
      </c>
      <c r="F69" s="37"/>
      <c r="G69" s="37">
        <v>1</v>
      </c>
      <c r="H69" s="37">
        <v>1</v>
      </c>
      <c r="I69" s="37"/>
      <c r="J69" s="37">
        <v>1</v>
      </c>
      <c r="K69" s="37">
        <v>1</v>
      </c>
      <c r="L69" s="37">
        <v>1</v>
      </c>
      <c r="M69" s="37">
        <v>1</v>
      </c>
      <c r="N69" s="37">
        <v>1</v>
      </c>
      <c r="O69" s="37">
        <v>1</v>
      </c>
      <c r="P69" s="37">
        <v>1</v>
      </c>
      <c r="Q69" s="37">
        <v>1</v>
      </c>
      <c r="R69" s="37">
        <v>1</v>
      </c>
      <c r="S69" s="37">
        <v>1</v>
      </c>
      <c r="T69" s="37">
        <v>1</v>
      </c>
      <c r="U69" s="37">
        <v>1</v>
      </c>
      <c r="V69" s="37">
        <v>1</v>
      </c>
      <c r="W69" s="37">
        <v>1</v>
      </c>
      <c r="X69" s="37">
        <v>1</v>
      </c>
      <c r="Y69" s="37"/>
      <c r="Z69" s="37">
        <v>1</v>
      </c>
      <c r="AA69" s="37">
        <v>1</v>
      </c>
      <c r="AB69" s="37">
        <v>1</v>
      </c>
      <c r="AC69" s="38">
        <f t="shared" si="1"/>
        <v>1006500</v>
      </c>
    </row>
    <row r="70" s="2" customFormat="1" ht="13" customHeight="1" spans="1:29">
      <c r="A70" s="35">
        <v>58</v>
      </c>
      <c r="B70" s="36" t="s">
        <v>1213</v>
      </c>
      <c r="C70" s="36" t="s">
        <v>35</v>
      </c>
      <c r="D70" s="36">
        <v>1977</v>
      </c>
      <c r="E70" s="37">
        <v>1</v>
      </c>
      <c r="F70" s="37"/>
      <c r="G70" s="37">
        <v>1</v>
      </c>
      <c r="H70" s="37">
        <v>1</v>
      </c>
      <c r="I70" s="37">
        <v>1</v>
      </c>
      <c r="J70" s="37">
        <v>1</v>
      </c>
      <c r="K70" s="37">
        <v>1</v>
      </c>
      <c r="L70" s="37">
        <v>1</v>
      </c>
      <c r="M70" s="37">
        <v>1</v>
      </c>
      <c r="N70" s="37">
        <v>1</v>
      </c>
      <c r="O70" s="37"/>
      <c r="P70" s="37">
        <v>1</v>
      </c>
      <c r="Q70" s="37">
        <v>1</v>
      </c>
      <c r="R70" s="37">
        <v>1</v>
      </c>
      <c r="S70" s="37">
        <v>1</v>
      </c>
      <c r="T70" s="37">
        <v>1</v>
      </c>
      <c r="U70" s="37"/>
      <c r="V70" s="37">
        <v>1</v>
      </c>
      <c r="W70" s="37">
        <v>1</v>
      </c>
      <c r="X70" s="37">
        <v>1</v>
      </c>
      <c r="Y70" s="37"/>
      <c r="Z70" s="37"/>
      <c r="AA70" s="37">
        <v>1</v>
      </c>
      <c r="AB70" s="37">
        <v>1</v>
      </c>
      <c r="AC70" s="38">
        <f t="shared" si="1"/>
        <v>927400</v>
      </c>
    </row>
    <row r="71" s="2" customFormat="1" ht="13" customHeight="1" spans="1:29">
      <c r="A71" s="35">
        <v>59</v>
      </c>
      <c r="B71" s="36" t="s">
        <v>1223</v>
      </c>
      <c r="C71" s="36" t="s">
        <v>34</v>
      </c>
      <c r="D71" s="36">
        <v>1986</v>
      </c>
      <c r="E71" s="37">
        <v>1</v>
      </c>
      <c r="F71" s="37"/>
      <c r="G71" s="37">
        <v>1</v>
      </c>
      <c r="H71" s="37">
        <v>1</v>
      </c>
      <c r="I71" s="37"/>
      <c r="J71" s="37">
        <v>1</v>
      </c>
      <c r="K71" s="37">
        <v>1</v>
      </c>
      <c r="L71" s="37">
        <v>1</v>
      </c>
      <c r="M71" s="37">
        <v>1</v>
      </c>
      <c r="N71" s="37">
        <v>1</v>
      </c>
      <c r="O71" s="37">
        <v>1</v>
      </c>
      <c r="P71" s="37">
        <v>1</v>
      </c>
      <c r="Q71" s="37">
        <v>1</v>
      </c>
      <c r="R71" s="37">
        <v>1</v>
      </c>
      <c r="S71" s="37">
        <v>1</v>
      </c>
      <c r="T71" s="37">
        <v>1</v>
      </c>
      <c r="U71" s="37">
        <v>1</v>
      </c>
      <c r="V71" s="37">
        <v>1</v>
      </c>
      <c r="W71" s="37">
        <v>1</v>
      </c>
      <c r="X71" s="37">
        <v>1</v>
      </c>
      <c r="Y71" s="37"/>
      <c r="Z71" s="37">
        <v>1</v>
      </c>
      <c r="AA71" s="37">
        <v>1</v>
      </c>
      <c r="AB71" s="37">
        <v>1</v>
      </c>
      <c r="AC71" s="38">
        <f t="shared" si="1"/>
        <v>1006500</v>
      </c>
    </row>
    <row r="72" s="2" customFormat="1" ht="13" customHeight="1" spans="1:29">
      <c r="A72" s="35">
        <v>60</v>
      </c>
      <c r="B72" s="36" t="s">
        <v>1235</v>
      </c>
      <c r="C72" s="36" t="s">
        <v>34</v>
      </c>
      <c r="D72" s="36">
        <v>1982</v>
      </c>
      <c r="E72" s="37">
        <v>1</v>
      </c>
      <c r="F72" s="37"/>
      <c r="G72" s="37">
        <v>1</v>
      </c>
      <c r="H72" s="37">
        <v>1</v>
      </c>
      <c r="I72" s="37"/>
      <c r="J72" s="37">
        <v>1</v>
      </c>
      <c r="K72" s="37">
        <v>1</v>
      </c>
      <c r="L72" s="37">
        <v>1</v>
      </c>
      <c r="M72" s="37">
        <v>1</v>
      </c>
      <c r="N72" s="37">
        <v>1</v>
      </c>
      <c r="O72" s="37">
        <v>1</v>
      </c>
      <c r="P72" s="37">
        <v>1</v>
      </c>
      <c r="Q72" s="37">
        <v>1</v>
      </c>
      <c r="R72" s="37">
        <v>1</v>
      </c>
      <c r="S72" s="37">
        <v>1</v>
      </c>
      <c r="T72" s="37">
        <v>1</v>
      </c>
      <c r="U72" s="37">
        <v>1</v>
      </c>
      <c r="V72" s="37">
        <v>1</v>
      </c>
      <c r="W72" s="37">
        <v>1</v>
      </c>
      <c r="X72" s="37">
        <v>1</v>
      </c>
      <c r="Y72" s="37"/>
      <c r="Z72" s="37">
        <v>1</v>
      </c>
      <c r="AA72" s="37">
        <v>1</v>
      </c>
      <c r="AB72" s="37">
        <v>1</v>
      </c>
      <c r="AC72" s="38">
        <f t="shared" si="1"/>
        <v>1006500</v>
      </c>
    </row>
    <row r="73" s="2" customFormat="1" ht="13" customHeight="1" spans="1:29">
      <c r="A73" s="35">
        <v>61</v>
      </c>
      <c r="B73" s="36" t="s">
        <v>1251</v>
      </c>
      <c r="C73" s="36" t="s">
        <v>34</v>
      </c>
      <c r="D73" s="36">
        <v>1983</v>
      </c>
      <c r="E73" s="37">
        <v>1</v>
      </c>
      <c r="F73" s="37"/>
      <c r="G73" s="37">
        <v>1</v>
      </c>
      <c r="H73" s="37">
        <v>1</v>
      </c>
      <c r="I73" s="37"/>
      <c r="J73" s="37">
        <v>1</v>
      </c>
      <c r="K73" s="37">
        <v>1</v>
      </c>
      <c r="L73" s="37">
        <v>1</v>
      </c>
      <c r="M73" s="37">
        <v>1</v>
      </c>
      <c r="N73" s="37">
        <v>1</v>
      </c>
      <c r="O73" s="37">
        <v>1</v>
      </c>
      <c r="P73" s="37">
        <v>1</v>
      </c>
      <c r="Q73" s="37">
        <v>1</v>
      </c>
      <c r="R73" s="37">
        <v>1</v>
      </c>
      <c r="S73" s="37">
        <v>1</v>
      </c>
      <c r="T73" s="37">
        <v>1</v>
      </c>
      <c r="U73" s="37">
        <v>1</v>
      </c>
      <c r="V73" s="37">
        <v>1</v>
      </c>
      <c r="W73" s="37">
        <v>1</v>
      </c>
      <c r="X73" s="37">
        <v>1</v>
      </c>
      <c r="Y73" s="37"/>
      <c r="Z73" s="37">
        <v>1</v>
      </c>
      <c r="AA73" s="37">
        <v>1</v>
      </c>
      <c r="AB73" s="37">
        <v>1</v>
      </c>
      <c r="AC73" s="38">
        <f t="shared" si="1"/>
        <v>1006500</v>
      </c>
    </row>
    <row r="74" s="2" customFormat="1" ht="13" customHeight="1" spans="1:29">
      <c r="A74" s="35">
        <v>62</v>
      </c>
      <c r="B74" s="36" t="s">
        <v>1265</v>
      </c>
      <c r="C74" s="36" t="s">
        <v>34</v>
      </c>
      <c r="D74" s="36">
        <v>1983</v>
      </c>
      <c r="E74" s="37">
        <v>1</v>
      </c>
      <c r="F74" s="37"/>
      <c r="G74" s="37">
        <v>1</v>
      </c>
      <c r="H74" s="37">
        <v>1</v>
      </c>
      <c r="I74" s="37"/>
      <c r="J74" s="37">
        <v>1</v>
      </c>
      <c r="K74" s="37">
        <v>1</v>
      </c>
      <c r="L74" s="37">
        <v>1</v>
      </c>
      <c r="M74" s="37">
        <v>1</v>
      </c>
      <c r="N74" s="37">
        <v>1</v>
      </c>
      <c r="O74" s="37">
        <v>1</v>
      </c>
      <c r="P74" s="37">
        <v>1</v>
      </c>
      <c r="Q74" s="37">
        <v>1</v>
      </c>
      <c r="R74" s="37">
        <v>1</v>
      </c>
      <c r="S74" s="37">
        <v>1</v>
      </c>
      <c r="T74" s="37">
        <v>1</v>
      </c>
      <c r="U74" s="37">
        <v>1</v>
      </c>
      <c r="V74" s="37">
        <v>1</v>
      </c>
      <c r="W74" s="37">
        <v>1</v>
      </c>
      <c r="X74" s="37">
        <v>1</v>
      </c>
      <c r="Y74" s="37"/>
      <c r="Z74" s="37">
        <v>1</v>
      </c>
      <c r="AA74" s="37">
        <v>1</v>
      </c>
      <c r="AB74" s="37">
        <v>1</v>
      </c>
      <c r="AC74" s="38">
        <f t="shared" si="1"/>
        <v>1006500</v>
      </c>
    </row>
    <row r="75" s="2" customFormat="1" ht="13" customHeight="1" spans="1:29">
      <c r="A75" s="35">
        <v>63</v>
      </c>
      <c r="B75" s="36" t="s">
        <v>1281</v>
      </c>
      <c r="C75" s="36" t="s">
        <v>34</v>
      </c>
      <c r="D75" s="36">
        <v>1996</v>
      </c>
      <c r="E75" s="37">
        <v>1</v>
      </c>
      <c r="F75" s="37"/>
      <c r="G75" s="37">
        <v>1</v>
      </c>
      <c r="H75" s="37">
        <v>1</v>
      </c>
      <c r="I75" s="37"/>
      <c r="J75" s="37">
        <v>1</v>
      </c>
      <c r="K75" s="37">
        <v>1</v>
      </c>
      <c r="L75" s="37">
        <v>1</v>
      </c>
      <c r="M75" s="37">
        <v>1</v>
      </c>
      <c r="N75" s="37">
        <v>1</v>
      </c>
      <c r="O75" s="37">
        <v>1</v>
      </c>
      <c r="P75" s="37">
        <v>1</v>
      </c>
      <c r="Q75" s="37">
        <v>1</v>
      </c>
      <c r="R75" s="37">
        <v>1</v>
      </c>
      <c r="S75" s="37">
        <v>1</v>
      </c>
      <c r="T75" s="37">
        <v>1</v>
      </c>
      <c r="U75" s="37">
        <v>1</v>
      </c>
      <c r="V75" s="37">
        <v>1</v>
      </c>
      <c r="W75" s="37">
        <v>1</v>
      </c>
      <c r="X75" s="37">
        <v>1</v>
      </c>
      <c r="Y75" s="37"/>
      <c r="Z75" s="37">
        <v>1</v>
      </c>
      <c r="AA75" s="37">
        <v>1</v>
      </c>
      <c r="AB75" s="37">
        <v>1</v>
      </c>
      <c r="AC75" s="38">
        <f t="shared" si="1"/>
        <v>1006500</v>
      </c>
    </row>
    <row r="76" s="2" customFormat="1" ht="13" customHeight="1" spans="1:29">
      <c r="A76" s="35">
        <v>64</v>
      </c>
      <c r="B76" s="36" t="s">
        <v>1295</v>
      </c>
      <c r="C76" s="36" t="s">
        <v>35</v>
      </c>
      <c r="D76" s="36">
        <v>2002</v>
      </c>
      <c r="E76" s="37">
        <v>1</v>
      </c>
      <c r="F76" s="37"/>
      <c r="G76" s="37">
        <v>1</v>
      </c>
      <c r="H76" s="37">
        <v>1</v>
      </c>
      <c r="I76" s="37">
        <v>1</v>
      </c>
      <c r="J76" s="37">
        <v>1</v>
      </c>
      <c r="K76" s="37">
        <v>1</v>
      </c>
      <c r="L76" s="37">
        <v>1</v>
      </c>
      <c r="M76" s="37">
        <v>1</v>
      </c>
      <c r="N76" s="37">
        <v>1</v>
      </c>
      <c r="O76" s="37"/>
      <c r="P76" s="37">
        <v>1</v>
      </c>
      <c r="Q76" s="37">
        <v>1</v>
      </c>
      <c r="R76" s="37">
        <v>1</v>
      </c>
      <c r="S76" s="37">
        <v>1</v>
      </c>
      <c r="T76" s="37">
        <v>1</v>
      </c>
      <c r="U76" s="37"/>
      <c r="V76" s="37">
        <v>1</v>
      </c>
      <c r="W76" s="37">
        <v>1</v>
      </c>
      <c r="X76" s="37">
        <v>1</v>
      </c>
      <c r="Y76" s="37"/>
      <c r="Z76" s="37"/>
      <c r="AA76" s="37">
        <v>1</v>
      </c>
      <c r="AB76" s="37">
        <v>1</v>
      </c>
      <c r="AC76" s="38">
        <f t="shared" si="1"/>
        <v>927400</v>
      </c>
    </row>
    <row r="77" s="2" customFormat="1" ht="13" customHeight="1" spans="1:29">
      <c r="A77" s="35">
        <v>65</v>
      </c>
      <c r="B77" s="36" t="s">
        <v>1311</v>
      </c>
      <c r="C77" s="36" t="s">
        <v>34</v>
      </c>
      <c r="D77" s="36">
        <v>1978</v>
      </c>
      <c r="E77" s="37">
        <v>1</v>
      </c>
      <c r="F77" s="37"/>
      <c r="G77" s="37">
        <v>1</v>
      </c>
      <c r="H77" s="37">
        <v>1</v>
      </c>
      <c r="I77" s="37"/>
      <c r="J77" s="37">
        <v>1</v>
      </c>
      <c r="K77" s="37">
        <v>1</v>
      </c>
      <c r="L77" s="37">
        <v>1</v>
      </c>
      <c r="M77" s="37">
        <v>1</v>
      </c>
      <c r="N77" s="37">
        <v>1</v>
      </c>
      <c r="O77" s="37">
        <v>1</v>
      </c>
      <c r="P77" s="37">
        <v>1</v>
      </c>
      <c r="Q77" s="37">
        <v>1</v>
      </c>
      <c r="R77" s="37">
        <v>1</v>
      </c>
      <c r="S77" s="37">
        <v>1</v>
      </c>
      <c r="T77" s="37">
        <v>1</v>
      </c>
      <c r="U77" s="37">
        <v>1</v>
      </c>
      <c r="V77" s="37">
        <v>1</v>
      </c>
      <c r="W77" s="37">
        <v>1</v>
      </c>
      <c r="X77" s="37">
        <v>1</v>
      </c>
      <c r="Y77" s="37"/>
      <c r="Z77" s="37">
        <v>1</v>
      </c>
      <c r="AA77" s="37">
        <v>1</v>
      </c>
      <c r="AB77" s="37">
        <v>1</v>
      </c>
      <c r="AC77" s="38">
        <f t="shared" si="1"/>
        <v>1006500</v>
      </c>
    </row>
    <row r="78" s="2" customFormat="1" ht="13" customHeight="1" spans="1:29">
      <c r="A78" s="35">
        <v>66</v>
      </c>
      <c r="B78" s="36" t="s">
        <v>1326</v>
      </c>
      <c r="C78" s="36" t="s">
        <v>34</v>
      </c>
      <c r="D78" s="36">
        <v>1988</v>
      </c>
      <c r="E78" s="37">
        <v>1</v>
      </c>
      <c r="F78" s="37"/>
      <c r="G78" s="37">
        <v>1</v>
      </c>
      <c r="H78" s="37">
        <v>1</v>
      </c>
      <c r="I78" s="37"/>
      <c r="J78" s="37">
        <v>1</v>
      </c>
      <c r="K78" s="37">
        <v>1</v>
      </c>
      <c r="L78" s="37">
        <v>1</v>
      </c>
      <c r="M78" s="37">
        <v>1</v>
      </c>
      <c r="N78" s="37">
        <v>1</v>
      </c>
      <c r="O78" s="37">
        <v>1</v>
      </c>
      <c r="P78" s="37">
        <v>1</v>
      </c>
      <c r="Q78" s="37">
        <v>1</v>
      </c>
      <c r="R78" s="37">
        <v>1</v>
      </c>
      <c r="S78" s="37">
        <v>1</v>
      </c>
      <c r="T78" s="37">
        <v>1</v>
      </c>
      <c r="U78" s="37">
        <v>1</v>
      </c>
      <c r="V78" s="37">
        <v>1</v>
      </c>
      <c r="W78" s="37">
        <v>1</v>
      </c>
      <c r="X78" s="37">
        <v>1</v>
      </c>
      <c r="Y78" s="37"/>
      <c r="Z78" s="37">
        <v>1</v>
      </c>
      <c r="AA78" s="37">
        <v>1</v>
      </c>
      <c r="AB78" s="37">
        <v>1</v>
      </c>
      <c r="AC78" s="38">
        <f>SUMPRODUCT(E78:AB78,$E$12:$AB$12)</f>
        <v>1006500</v>
      </c>
    </row>
    <row r="79" s="2" customFormat="1" ht="13" customHeight="1" spans="1:29">
      <c r="A79" s="35">
        <v>67</v>
      </c>
      <c r="B79" s="36" t="s">
        <v>1341</v>
      </c>
      <c r="C79" s="36" t="s">
        <v>34</v>
      </c>
      <c r="D79" s="36">
        <v>1979</v>
      </c>
      <c r="E79" s="37">
        <v>1</v>
      </c>
      <c r="F79" s="37"/>
      <c r="G79" s="37">
        <v>1</v>
      </c>
      <c r="H79" s="37">
        <v>1</v>
      </c>
      <c r="I79" s="37"/>
      <c r="J79" s="37">
        <v>1</v>
      </c>
      <c r="K79" s="37">
        <v>1</v>
      </c>
      <c r="L79" s="37">
        <v>1</v>
      </c>
      <c r="M79" s="37">
        <v>1</v>
      </c>
      <c r="N79" s="37">
        <v>1</v>
      </c>
      <c r="O79" s="37">
        <v>1</v>
      </c>
      <c r="P79" s="37">
        <v>1</v>
      </c>
      <c r="Q79" s="37">
        <v>1</v>
      </c>
      <c r="R79" s="37">
        <v>1</v>
      </c>
      <c r="S79" s="37">
        <v>1</v>
      </c>
      <c r="T79" s="37">
        <v>1</v>
      </c>
      <c r="U79" s="37">
        <v>1</v>
      </c>
      <c r="V79" s="37">
        <v>1</v>
      </c>
      <c r="W79" s="37">
        <v>1</v>
      </c>
      <c r="X79" s="37">
        <v>1</v>
      </c>
      <c r="Y79" s="37"/>
      <c r="Z79" s="37">
        <v>1</v>
      </c>
      <c r="AA79" s="37">
        <v>1</v>
      </c>
      <c r="AB79" s="37">
        <v>1</v>
      </c>
      <c r="AC79" s="38">
        <f>SUMPRODUCT(E79:AB79,$E$12:$AB$12)</f>
        <v>1006500</v>
      </c>
    </row>
    <row r="80" s="2" customFormat="1" ht="13" customHeight="1" spans="1:29">
      <c r="A80" s="35">
        <v>68</v>
      </c>
      <c r="B80" s="36" t="s">
        <v>1357</v>
      </c>
      <c r="C80" s="36" t="s">
        <v>34</v>
      </c>
      <c r="D80" s="36">
        <v>1979</v>
      </c>
      <c r="E80" s="37">
        <v>1</v>
      </c>
      <c r="F80" s="37"/>
      <c r="G80" s="37">
        <v>1</v>
      </c>
      <c r="H80" s="37">
        <v>1</v>
      </c>
      <c r="I80" s="37"/>
      <c r="J80" s="37">
        <v>1</v>
      </c>
      <c r="K80" s="37">
        <v>1</v>
      </c>
      <c r="L80" s="37">
        <v>1</v>
      </c>
      <c r="M80" s="37">
        <v>1</v>
      </c>
      <c r="N80" s="37">
        <v>1</v>
      </c>
      <c r="O80" s="37">
        <v>1</v>
      </c>
      <c r="P80" s="37">
        <v>1</v>
      </c>
      <c r="Q80" s="37">
        <v>1</v>
      </c>
      <c r="R80" s="37">
        <v>1</v>
      </c>
      <c r="S80" s="37">
        <v>1</v>
      </c>
      <c r="T80" s="37">
        <v>1</v>
      </c>
      <c r="U80" s="37">
        <v>1</v>
      </c>
      <c r="V80" s="37">
        <v>1</v>
      </c>
      <c r="W80" s="37">
        <v>1</v>
      </c>
      <c r="X80" s="37">
        <v>1</v>
      </c>
      <c r="Y80" s="37"/>
      <c r="Z80" s="37">
        <v>1</v>
      </c>
      <c r="AA80" s="37">
        <v>1</v>
      </c>
      <c r="AB80" s="37">
        <v>1</v>
      </c>
      <c r="AC80" s="38">
        <f>SUMPRODUCT(E80:AB80,$E$12:$AB$12)</f>
        <v>1006500</v>
      </c>
    </row>
    <row r="81" s="2" customFormat="1" ht="13" customHeight="1" spans="1:29">
      <c r="A81" s="35">
        <v>69</v>
      </c>
      <c r="B81" s="36" t="s">
        <v>1376</v>
      </c>
      <c r="C81" s="36" t="s">
        <v>34</v>
      </c>
      <c r="D81" s="36">
        <v>1993</v>
      </c>
      <c r="E81" s="37">
        <v>1</v>
      </c>
      <c r="F81" s="37"/>
      <c r="G81" s="37">
        <v>1</v>
      </c>
      <c r="H81" s="37">
        <v>1</v>
      </c>
      <c r="I81" s="37"/>
      <c r="J81" s="37">
        <v>1</v>
      </c>
      <c r="K81" s="37">
        <v>1</v>
      </c>
      <c r="L81" s="37">
        <v>1</v>
      </c>
      <c r="M81" s="37">
        <v>1</v>
      </c>
      <c r="N81" s="37">
        <v>1</v>
      </c>
      <c r="O81" s="37">
        <v>1</v>
      </c>
      <c r="P81" s="37">
        <v>1</v>
      </c>
      <c r="Q81" s="37">
        <v>1</v>
      </c>
      <c r="R81" s="37">
        <v>1</v>
      </c>
      <c r="S81" s="37">
        <v>1</v>
      </c>
      <c r="T81" s="37">
        <v>1</v>
      </c>
      <c r="U81" s="37">
        <v>1</v>
      </c>
      <c r="V81" s="37">
        <v>1</v>
      </c>
      <c r="W81" s="37">
        <v>1</v>
      </c>
      <c r="X81" s="37">
        <v>1</v>
      </c>
      <c r="Y81" s="37"/>
      <c r="Z81" s="37">
        <v>1</v>
      </c>
      <c r="AA81" s="37">
        <v>1</v>
      </c>
      <c r="AB81" s="37">
        <v>1</v>
      </c>
      <c r="AC81" s="38">
        <f>SUMPRODUCT(E81:AB81,$E$12:$AB$12)</f>
        <v>1006500</v>
      </c>
    </row>
    <row r="82" s="2" customFormat="1" ht="13" customHeight="1" spans="1:29">
      <c r="A82" s="35">
        <v>70</v>
      </c>
      <c r="B82" s="36" t="s">
        <v>1390</v>
      </c>
      <c r="C82" s="36" t="s">
        <v>35</v>
      </c>
      <c r="D82" s="36">
        <v>1980</v>
      </c>
      <c r="E82" s="37">
        <v>1</v>
      </c>
      <c r="F82" s="37">
        <v>1</v>
      </c>
      <c r="G82" s="37">
        <v>1</v>
      </c>
      <c r="H82" s="37">
        <v>1</v>
      </c>
      <c r="I82" s="37">
        <v>1</v>
      </c>
      <c r="J82" s="37">
        <v>1</v>
      </c>
      <c r="K82" s="37">
        <v>1</v>
      </c>
      <c r="L82" s="37">
        <v>1</v>
      </c>
      <c r="M82" s="37">
        <v>1</v>
      </c>
      <c r="N82" s="37">
        <v>1</v>
      </c>
      <c r="O82" s="37"/>
      <c r="P82" s="37">
        <v>1</v>
      </c>
      <c r="Q82" s="37">
        <v>1</v>
      </c>
      <c r="R82" s="37">
        <v>1</v>
      </c>
      <c r="S82" s="37">
        <v>1</v>
      </c>
      <c r="T82" s="37">
        <v>1</v>
      </c>
      <c r="U82" s="37"/>
      <c r="V82" s="37">
        <v>1</v>
      </c>
      <c r="W82" s="37">
        <v>1</v>
      </c>
      <c r="X82" s="37">
        <v>1</v>
      </c>
      <c r="Y82" s="37">
        <v>1</v>
      </c>
      <c r="Z82" s="37"/>
      <c r="AA82" s="37">
        <v>1</v>
      </c>
      <c r="AB82" s="37">
        <v>1</v>
      </c>
      <c r="AC82" s="38">
        <f>SUMPRODUCT(E82:AB82,$E$12:$AB$12)</f>
        <v>1162800</v>
      </c>
    </row>
    <row r="83" s="3" customFormat="1" ht="21.75" customHeight="1" spans="1:29">
      <c r="A83" s="39" t="s">
        <v>1435</v>
      </c>
      <c r="B83" s="40"/>
      <c r="C83" s="40"/>
      <c r="D83" s="40"/>
      <c r="E83" s="41">
        <f>SUM(E13:E82)</f>
        <v>70</v>
      </c>
      <c r="F83" s="41">
        <f t="shared" ref="F83:AB83" si="2">SUM(F13:F82)</f>
        <v>11</v>
      </c>
      <c r="G83" s="41">
        <f t="shared" si="2"/>
        <v>70</v>
      </c>
      <c r="H83" s="41">
        <f t="shared" si="2"/>
        <v>70</v>
      </c>
      <c r="I83" s="41">
        <f t="shared" si="2"/>
        <v>32</v>
      </c>
      <c r="J83" s="41">
        <f t="shared" si="2"/>
        <v>70</v>
      </c>
      <c r="K83" s="41">
        <f t="shared" si="2"/>
        <v>70</v>
      </c>
      <c r="L83" s="41">
        <f t="shared" si="2"/>
        <v>70</v>
      </c>
      <c r="M83" s="41">
        <f t="shared" si="2"/>
        <v>70</v>
      </c>
      <c r="N83" s="41">
        <f t="shared" si="2"/>
        <v>70</v>
      </c>
      <c r="O83" s="41">
        <f t="shared" si="2"/>
        <v>38</v>
      </c>
      <c r="P83" s="41">
        <f t="shared" si="2"/>
        <v>70</v>
      </c>
      <c r="Q83" s="41">
        <f t="shared" si="2"/>
        <v>70</v>
      </c>
      <c r="R83" s="41">
        <f t="shared" si="2"/>
        <v>70</v>
      </c>
      <c r="S83" s="41">
        <f t="shared" si="2"/>
        <v>70</v>
      </c>
      <c r="T83" s="41">
        <f t="shared" si="2"/>
        <v>70</v>
      </c>
      <c r="U83" s="41">
        <f t="shared" si="2"/>
        <v>38</v>
      </c>
      <c r="V83" s="41">
        <f t="shared" si="2"/>
        <v>70</v>
      </c>
      <c r="W83" s="41">
        <f t="shared" si="2"/>
        <v>70</v>
      </c>
      <c r="X83" s="41">
        <f t="shared" si="2"/>
        <v>70</v>
      </c>
      <c r="Y83" s="41">
        <f t="shared" si="2"/>
        <v>11</v>
      </c>
      <c r="Z83" s="41">
        <f t="shared" si="2"/>
        <v>38</v>
      </c>
      <c r="AA83" s="41">
        <f t="shared" si="2"/>
        <v>70</v>
      </c>
      <c r="AB83" s="41">
        <f t="shared" si="2"/>
        <v>70</v>
      </c>
      <c r="AC83" s="42">
        <f>SUMPRODUCT(E83:AB83,$E$12:$AB$12)</f>
        <v>70513200</v>
      </c>
    </row>
    <row r="85" s="2" customFormat="1" spans="1:29">
      <c r="A85" s="43" t="s">
        <v>1436</v>
      </c>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row>
    <row r="86" s="4" customFormat="1" spans="1:29">
      <c r="C86" s="44"/>
      <c r="D86" s="44"/>
      <c r="E86" s="4"/>
      <c r="F86" s="4"/>
      <c r="G86" s="4"/>
      <c r="H86" s="4"/>
      <c r="I86" s="4"/>
      <c r="J86" s="4"/>
      <c r="K86" s="4"/>
      <c r="L86" s="4"/>
      <c r="M86" s="4"/>
      <c r="N86" s="4"/>
      <c r="O86" s="4"/>
      <c r="P86" s="4"/>
      <c r="Q86" s="4"/>
      <c r="R86" s="45" t="s">
        <v>1437</v>
      </c>
      <c r="S86" s="45"/>
      <c r="T86" s="45"/>
      <c r="U86" s="45"/>
      <c r="V86" s="45"/>
      <c r="W86" s="45"/>
      <c r="X86" s="45"/>
      <c r="Y86" s="45"/>
      <c r="Z86" s="45"/>
      <c r="AA86" s="45"/>
      <c r="AB86" s="45"/>
      <c r="AC86" s="45"/>
    </row>
    <row r="87" s="5" customFormat="1" spans="1:29">
      <c r="A87" s="46" t="s">
        <v>1438</v>
      </c>
      <c r="B87" s="46"/>
      <c r="C87" s="46"/>
      <c r="D87" s="46"/>
      <c r="E87" s="46"/>
      <c r="F87" s="46" t="s">
        <v>1439</v>
      </c>
      <c r="G87" s="46"/>
      <c r="H87" s="46"/>
      <c r="I87" s="46"/>
      <c r="J87" s="46"/>
      <c r="K87" s="46"/>
      <c r="L87" s="46"/>
      <c r="M87" s="46"/>
      <c r="N87" s="46"/>
      <c r="O87" s="46"/>
      <c r="P87" s="46"/>
      <c r="Q87" s="46"/>
      <c r="R87" s="46" t="s">
        <v>1440</v>
      </c>
      <c r="S87" s="46"/>
      <c r="T87" s="46"/>
      <c r="U87" s="46"/>
      <c r="V87" s="46"/>
      <c r="W87" s="46"/>
      <c r="X87" s="46"/>
      <c r="Y87" s="46"/>
      <c r="Z87" s="46"/>
      <c r="AA87" s="46"/>
      <c r="AB87" s="46"/>
      <c r="AC87" s="46"/>
    </row>
    <row r="88" s="6" customFormat="1" spans="1:29">
      <c r="A88" s="47" t="s">
        <v>1441</v>
      </c>
      <c r="B88" s="47"/>
      <c r="C88" s="47"/>
      <c r="D88" s="47"/>
      <c r="E88" s="47"/>
      <c r="F88" s="47" t="s">
        <v>1441</v>
      </c>
      <c r="G88" s="47"/>
      <c r="H88" s="47"/>
      <c r="I88" s="47"/>
      <c r="J88" s="47"/>
      <c r="K88" s="47"/>
      <c r="L88" s="47"/>
      <c r="M88" s="47"/>
      <c r="N88" s="47"/>
      <c r="O88" s="47"/>
      <c r="P88" s="47"/>
      <c r="Q88" s="47"/>
      <c r="R88" s="47" t="s">
        <v>1441</v>
      </c>
      <c r="S88" s="47"/>
      <c r="T88" s="47"/>
      <c r="U88" s="47"/>
      <c r="V88" s="47"/>
      <c r="W88" s="47"/>
      <c r="X88" s="47"/>
      <c r="Y88" s="47"/>
      <c r="Z88" s="47"/>
      <c r="AA88" s="47"/>
      <c r="AB88" s="47"/>
      <c r="AC88" s="47"/>
    </row>
  </sheetData>
  <autoFilter xmlns:etc="http://www.wps.cn/officeDocument/2017/etCustomData" ref="A12:AC83" etc:filterBottomFollowUsedRange="0">
    <extLst/>
  </autoFilter>
  <mergeCells count="47">
    <mergeCell ref="G1:K1"/>
    <mergeCell ref="N1:AC1"/>
    <mergeCell ref="G2:K2"/>
    <mergeCell ref="N2:AC2"/>
    <mergeCell ref="A3:E3"/>
    <mergeCell ref="A6:AC6"/>
    <mergeCell ref="A7:AC7"/>
    <mergeCell ref="A8:AC8"/>
    <mergeCell ref="A9:K9"/>
    <mergeCell ref="A83:D83"/>
    <mergeCell ref="R86:AC86"/>
    <mergeCell ref="A87:E87"/>
    <mergeCell ref="F87:Q87"/>
    <mergeCell ref="R87:AC87"/>
    <mergeCell ref="A88:E88"/>
    <mergeCell ref="F88:Q88"/>
    <mergeCell ref="R88:AC88"/>
    <mergeCell ref="A10:A12"/>
    <mergeCell ref="B10:B12"/>
    <mergeCell ref="C10:C12"/>
    <mergeCell ref="D10:D12"/>
    <mergeCell ref="E10:E11"/>
    <mergeCell ref="F10:F11"/>
    <mergeCell ref="G10:G11"/>
    <mergeCell ref="H10:H11"/>
    <mergeCell ref="I10:I11"/>
    <mergeCell ref="J10:J11"/>
    <mergeCell ref="K10:K11"/>
    <mergeCell ref="L10:L11"/>
    <mergeCell ref="M10:M11"/>
    <mergeCell ref="N10:N11"/>
    <mergeCell ref="O10:O11"/>
    <mergeCell ref="P10:P11"/>
    <mergeCell ref="Q10:Q11"/>
    <mergeCell ref="R10:R11"/>
    <mergeCell ref="S10:S11"/>
    <mergeCell ref="T10:T11"/>
    <mergeCell ref="U10:U11"/>
    <mergeCell ref="V10:V11"/>
    <mergeCell ref="W10:W11"/>
    <mergeCell ref="X10:X11"/>
    <mergeCell ref="Y10:Y11"/>
    <mergeCell ref="Z10:Z11"/>
    <mergeCell ref="AA10:AA11"/>
    <mergeCell ref="AB10:AB11"/>
    <mergeCell ref="AC10:AC12"/>
    <mergeCell ref="A1:E2"/>
  </mergeCells>
  <pageMargins left="0.75" right="0.75" top="1" bottom="1" header="0.5" footer="0.5"/>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Bìa sổ</vt:lpstr>
      <vt:lpstr>Bảng phần trăm</vt:lpstr>
      <vt:lpstr>Kết quả</vt:lpstr>
      <vt:lpstr>Chi phí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Tien Duat</dc:creator>
  <cp:lastModifiedBy>Bệnh viện Đại học Y H</cp:lastModifiedBy>
  <dcterms:created xsi:type="dcterms:W3CDTF">2023-08-24T04:29:00Z</dcterms:created>
  <cp:lastPrinted>2026-07-15T07:16:00Z</cp:lastPrinted>
  <dcterms:modified xsi:type="dcterms:W3CDTF">2026-09-04T08:35:00Z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CC9D9350FA3844DB8AFAFBE92CDCC05A_12</vt:lpwstr>
  </property>
  <property fmtid="{D5CDD505-2E9C-101B-9397-08002B2CF9AE}" pid="3" name="KSOProductBuildVer">
    <vt:lpwstr>1033-12.1.0.28485</vt:lpwstr>
  </property>
  <property fmtid="{D5CDD505-2E9C-101B-9397-08002B2CF9AE}" pid="4" name="CalculationRule">
    <vt:i4>0</vt:i4>
  </property>
</Properties>
</file>